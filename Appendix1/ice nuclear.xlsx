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2"/>
  </bookViews>
  <sheets>
    <sheet name="冰核实验记录" sheetId="3" r:id="rId1"/>
    <sheet name="冰核数浓度表" sheetId="5" r:id="rId2"/>
    <sheet name="采样记录表" sheetId="2" r:id="rId3"/>
  </sheets>
  <definedNames>
    <definedName name="_xlnm._FilterDatabase" localSheetId="2" hidden="1">采样记录表!$B$3:$M$30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<sst xmlns="http://schemas.openxmlformats.org/spreadsheetml/2006/main" count="288" uniqueCount="143">
  <si>
    <t>冰核数n（个）</t>
  </si>
  <si>
    <t>样品编号</t>
  </si>
  <si>
    <t>采样时间</t>
  </si>
  <si>
    <t>备注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</si>
  <si>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</si>
  <si>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</si>
  <si>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</si>
  <si>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</si>
  <si>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</si>
  <si>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</si>
  <si>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</si>
  <si>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</si>
  <si>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</si>
  <si>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</si>
  <si>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略有灰尘污染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</si>
  <si>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</si>
  <si>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</si>
  <si>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</si>
  <si>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</si>
  <si>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</si>
  <si>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</si>
  <si>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</si>
  <si>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</si>
  <si>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</si>
  <si>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</si>
  <si>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灰尘污染</t>
  </si>
  <si>
    <t>b21</t>
  </si>
  <si>
    <t>污染较重</t>
  </si>
  <si>
    <t>b22</t>
  </si>
  <si>
    <t>b23</t>
  </si>
  <si>
    <t>b24</t>
  </si>
  <si>
    <t>b25</t>
  </si>
  <si>
    <t>b26</t>
  </si>
  <si>
    <t>b27</t>
  </si>
  <si>
    <t>b28</t>
  </si>
  <si>
    <t>冰核数浓度（个/L）</t>
  </si>
  <si>
    <t>相对于水面的过饱和度转换为相对与冰面的过饱和度</t>
  </si>
  <si>
    <t>ave</t>
  </si>
  <si>
    <t>Latitude (DD)</t>
  </si>
  <si>
    <t>Longitude</t>
  </si>
  <si>
    <t xml:space="preserve"> 121°0.7'E</t>
  </si>
  <si>
    <t>黄海</t>
  </si>
  <si>
    <t>样本</t>
  </si>
  <si>
    <t>均值</t>
  </si>
  <si>
    <t>标准差</t>
  </si>
  <si>
    <t xml:space="preserve"> 122°29.8'E</t>
  </si>
  <si>
    <t>B01</t>
  </si>
  <si>
    <t>123°30.1’E</t>
  </si>
  <si>
    <t>B02</t>
  </si>
  <si>
    <t>125°6.7’E</t>
  </si>
  <si>
    <t>B03</t>
  </si>
  <si>
    <t>125°42.1’E</t>
  </si>
  <si>
    <t>B04</t>
  </si>
  <si>
    <t xml:space="preserve"> 124°32.9’E</t>
  </si>
  <si>
    <t>B22</t>
  </si>
  <si>
    <t xml:space="preserve"> 123°4.7’E</t>
  </si>
  <si>
    <t>B23</t>
  </si>
  <si>
    <t xml:space="preserve"> 122°13.7’E</t>
  </si>
  <si>
    <t>B24</t>
  </si>
  <si>
    <t>122°13.7’E</t>
  </si>
  <si>
    <t>B25</t>
  </si>
  <si>
    <t>122°30.9’E</t>
  </si>
  <si>
    <t>B26</t>
  </si>
  <si>
    <t xml:space="preserve"> 122°36.5’E</t>
  </si>
  <si>
    <t>东海</t>
  </si>
  <si>
    <t>123°5.1’E</t>
  </si>
  <si>
    <t>B05</t>
  </si>
  <si>
    <t>124°27.7’E</t>
  </si>
  <si>
    <t>B06</t>
  </si>
  <si>
    <t>125°47.7’E</t>
  </si>
  <si>
    <t>B07</t>
  </si>
  <si>
    <t>124°39.5’E</t>
  </si>
  <si>
    <t>B08</t>
  </si>
  <si>
    <t>123°11.3’E</t>
  </si>
  <si>
    <t>B09</t>
  </si>
  <si>
    <t>122°23.4’E</t>
  </si>
  <si>
    <t>B10</t>
  </si>
  <si>
    <t>122°32.8’E</t>
  </si>
  <si>
    <t>B11</t>
  </si>
  <si>
    <t>121°37.5’E</t>
  </si>
  <si>
    <t>B12</t>
  </si>
  <si>
    <t>122°57.2’E</t>
  </si>
  <si>
    <t>B13</t>
  </si>
  <si>
    <t>122°26.6’E</t>
  </si>
  <si>
    <t>B14</t>
  </si>
  <si>
    <t>122°59.9’E</t>
  </si>
  <si>
    <t>B15</t>
  </si>
  <si>
    <t>123°0’E</t>
  </si>
  <si>
    <t>B16</t>
  </si>
  <si>
    <t>B17</t>
  </si>
  <si>
    <t>121°32.9’E</t>
  </si>
  <si>
    <t>B18</t>
  </si>
  <si>
    <t>120°47.2’E</t>
  </si>
  <si>
    <t>B19</t>
  </si>
  <si>
    <t>120°44.5’E</t>
  </si>
  <si>
    <t>B20</t>
  </si>
  <si>
    <t>36°18.9’N</t>
  </si>
  <si>
    <t>120°44.6’E</t>
  </si>
  <si>
    <t>B21</t>
  </si>
  <si>
    <t>中位数</t>
  </si>
  <si>
    <t>318-350</t>
  </si>
  <si>
    <t>大气冰核采样时间是5分钟，流速是2l/min</t>
  </si>
  <si>
    <t>采样编号</t>
  </si>
  <si>
    <t>采样日期</t>
  </si>
  <si>
    <t>开始采样时间</t>
  </si>
  <si>
    <t>结束采样时间</t>
  </si>
  <si>
    <t>总采样时长 min</t>
  </si>
  <si>
    <t>Latitude</t>
  </si>
  <si>
    <t>风速 m/s</t>
  </si>
  <si>
    <t>风向 度</t>
  </si>
  <si>
    <t>气温 摄氏度</t>
  </si>
  <si>
    <t>湿度 %</t>
  </si>
  <si>
    <t>气压 kpa</t>
  </si>
  <si>
    <t>Longitude (DD)</t>
  </si>
  <si>
    <t>35°58.9'N</t>
  </si>
  <si>
    <t>31°42.4'N</t>
  </si>
  <si>
    <t>31°59.9’N</t>
  </si>
  <si>
    <t>31°22.6’N</t>
  </si>
  <si>
    <t>30°24.2’N</t>
  </si>
  <si>
    <t>30°0’N</t>
  </si>
  <si>
    <t>29°59.6’N</t>
  </si>
  <si>
    <t>30°30.4’N</t>
  </si>
  <si>
    <t>30°30.3’N</t>
  </si>
  <si>
    <t>30°20.5’N</t>
  </si>
  <si>
    <t>29°28.3’N</t>
  </si>
  <si>
    <t>28°44.2’N</t>
  </si>
  <si>
    <t>29°52.7’N</t>
  </si>
  <si>
    <t>28°29’N</t>
  </si>
  <si>
    <t>27°27.8’N</t>
  </si>
  <si>
    <t>26°40.9’N</t>
  </si>
  <si>
    <t>25°51.9’N</t>
  </si>
  <si>
    <t>27°47.9’N</t>
  </si>
  <si>
    <t>28°0.0’N</t>
  </si>
  <si>
    <t>28°32.0’N</t>
  </si>
  <si>
    <t>31°59.5’N</t>
  </si>
  <si>
    <t>33°30.3’N</t>
  </si>
  <si>
    <t>35°29.4’N</t>
  </si>
  <si>
    <t>35°53.4’N</t>
  </si>
  <si>
    <t>36°16.85’N</t>
  </si>
  <si>
    <t>B27</t>
  </si>
  <si>
    <t>B28</t>
  </si>
  <si>
    <t>&gt;=28</t>
  </si>
  <si>
    <t>&lt;=123.5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</si>
</sst>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等线"/>
      <charset val="134"/>
      <scheme val="minor"/>
    </font>
    <font>
      <sz val="9.8"/>
      <color rgb="FF080808"/>
      <name val="Courier New"/>
      <charset val="134"/>
    </font>
    <font>
      <sz val="12"/>
      <color rgb="FF333333"/>
      <name val="Arial"/>
      <charset val="134"/>
    </font>
    <font>
      <sz val="11"/>
      <color theme="1"/>
      <name val="等线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right" vertical="center"/>
    </xf>
    <xf numFmtId="0" fontId="0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center" vertical="center"/>
    </xf>
    <xf numFmtId="22" fontId="2" fillId="0" borderId="0" xfId="0" applyNumberFormat="1" applyFont="1"/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vertical="center"/>
    </xf>
    <xf numFmtId="176" fontId="0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0" fillId="4" borderId="0" xfId="0" applyNumberForma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0" fontId="0" fillId="5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4" borderId="0" xfId="0" applyFill="1"/>
    <xf numFmtId="0" fontId="4" fillId="0" borderId="0" xfId="0" applyFont="1"/>
    <xf numFmtId="9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D93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采样记录表!$F$48:$F$53</c:f>
              <c:strCache>
                <c:ptCount val="6"/>
                <c:pt idx="0">
                  <c:v>B22</c:v>
                </c:pt>
                <c:pt idx="1">
                  <c:v>B23</c:v>
                </c:pt>
                <c:pt idx="2">
                  <c:v>B24</c:v>
                </c:pt>
                <c:pt idx="3">
                  <c:v>B25</c:v>
                </c:pt>
                <c:pt idx="4">
                  <c:v>B26</c:v>
                </c:pt>
                <c:pt idx="5">
                  <c:v>B27</c:v>
                </c:pt>
              </c:strCache>
            </c:strRef>
          </c:cat>
          <c:val>
            <c:numRef>
              <c:f>采样记录表!$H$48:$H$53</c:f>
              <c:numCache>
                <c:formatCode>General</c:formatCode>
                <c:ptCount val="6"/>
                <c:pt idx="0">
                  <c:v>0.2</c:v>
                </c:pt>
                <c:pt idx="1">
                  <c:v>0.6</c:v>
                </c:pt>
                <c:pt idx="2">
                  <c:v>0.2</c:v>
                </c:pt>
                <c:pt idx="3">
                  <c:v>0.7</c:v>
                </c:pt>
                <c:pt idx="4">
                  <c:v>2.2</c:v>
                </c:pt>
                <c:pt idx="5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3436838"/>
        <c:axId val="62860244"/>
      </c:lineChart>
      <c:catAx>
        <c:axId val="6034368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860244"/>
        <c:crosses val="autoZero"/>
        <c:auto val="1"/>
        <c:lblAlgn val="ctr"/>
        <c:lblOffset val="100"/>
        <c:noMultiLvlLbl val="0"/>
      </c:catAx>
      <c:valAx>
        <c:axId val="628602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43683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dd8fe265-2313-4c55-8346-60c875320b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711835</xdr:colOff>
      <xdr:row>62</xdr:row>
      <xdr:rowOff>116205</xdr:rowOff>
    </xdr:from>
    <xdr:to>
      <xdr:col>13</xdr:col>
      <xdr:colOff>79375</xdr:colOff>
      <xdr:row>78</xdr:row>
      <xdr:rowOff>55245</xdr:rowOff>
    </xdr:to>
    <xdr:graphicFrame>
      <xdr:nvGraphicFramePr>
        <xdr:cNvPr id="5" name="图表 4"/>
        <xdr:cNvGraphicFramePr/>
      </xdr:nvGraphicFramePr>
      <xdr:xfrm>
        <a:off x="8339455" y="1140904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zoomScale="85" zoomScaleNormal="85" workbookViewId="0">
      <selection activeCell="C2" sqref="C2:R31"/>
    </sheetView>
  </sheetViews>
  <sheetFormatPr defaultColWidth="9" defaultRowHeight="13.8"/>
  <cols>
    <col min="2" max="2" width="10.1111111111111" style="2" customWidth="1"/>
    <col min="20" max="20" width="10.3240740740741" customWidth="1"/>
  </cols>
  <sheetData>
    <row r="1" ht="39" customHeight="1" spans="1:20">
      <c r="A1" s="2" t="s">
        <v>0</v>
      </c>
      <c r="G1" s="2"/>
      <c r="H1" s="2"/>
    </row>
    <row r="2" spans="1:20">
      <c r="A2" t="s">
        <v>1</v>
      </c>
      <c r="B2" s="2" t="s">
        <v>2</v>
      </c>
      <c r="C2" s="22">
        <v>-17</v>
      </c>
      <c r="D2" s="22"/>
      <c r="E2" s="22"/>
      <c r="F2" s="22"/>
      <c r="G2" s="22">
        <v>-20</v>
      </c>
      <c r="H2" s="22"/>
      <c r="I2" s="22"/>
      <c r="J2" s="22"/>
      <c r="K2" s="22">
        <v>-23</v>
      </c>
      <c r="L2" s="22"/>
      <c r="M2" s="22"/>
      <c r="N2" s="22"/>
      <c r="O2" s="22">
        <v>-26</v>
      </c>
      <c r="P2" s="22"/>
      <c r="Q2" s="22"/>
      <c r="R2" s="22"/>
      <c r="T2" t="s">
        <v>3</v>
      </c>
    </row>
    <row r="3" spans="1:20">
      <c r="C3" s="3">
        <v>0.95</v>
      </c>
      <c r="D3" s="3">
        <v>0.97</v>
      </c>
      <c r="E3" s="3">
        <v>0.99</v>
      </c>
      <c r="F3" s="3">
        <v>1.01</v>
      </c>
      <c r="G3" s="3">
        <v>0.95</v>
      </c>
      <c r="H3" s="3">
        <v>0.97</v>
      </c>
      <c r="I3" s="3">
        <v>0.99</v>
      </c>
      <c r="J3" s="3">
        <v>1.01</v>
      </c>
      <c r="K3" s="3">
        <v>0.95</v>
      </c>
      <c r="L3" s="3">
        <v>0.97</v>
      </c>
      <c r="M3" s="3">
        <v>0.99</v>
      </c>
      <c r="N3" s="3">
        <v>1.01</v>
      </c>
      <c r="O3" s="3">
        <v>0.95</v>
      </c>
      <c r="P3" s="3">
        <v>0.97</v>
      </c>
      <c r="Q3" s="3">
        <v>0.99</v>
      </c>
      <c r="R3" s="3">
        <v>1.01</v>
      </c>
    </row>
    <row r="4" spans="1:20">
      <c r="A4" t="s">
        <v>4</v>
      </c>
      <c r="B4" s="9">
        <v>44661</v>
      </c>
      <c r="C4" s="6">
        <v>2</v>
      </c>
      <c r="D4" s="6">
        <v>2</v>
      </c>
      <c r="E4" s="6">
        <v>1</v>
      </c>
      <c r="F4" s="6">
        <v>2</v>
      </c>
      <c r="G4" s="6">
        <v>2</v>
      </c>
      <c r="H4" s="6">
        <v>2</v>
      </c>
      <c r="I4" s="6">
        <v>4</v>
      </c>
      <c r="J4" s="6">
        <v>4</v>
      </c>
      <c r="K4" s="6">
        <v>2</v>
      </c>
      <c r="L4" s="6">
        <v>2</v>
      </c>
      <c r="M4" s="6">
        <v>4</v>
      </c>
      <c r="N4" s="6">
        <v>13</v>
      </c>
      <c r="O4" s="6">
        <v>15</v>
      </c>
      <c r="P4" s="6">
        <v>18</v>
      </c>
      <c r="Q4" s="6">
        <v>19</v>
      </c>
      <c r="R4" s="6">
        <v>20</v>
      </c>
    </row>
    <row r="5" spans="1:20">
      <c r="A5" t="s">
        <v>5</v>
      </c>
      <c r="B5" s="9">
        <v>44662</v>
      </c>
      <c r="C5" s="6">
        <v>1</v>
      </c>
      <c r="D5" s="6">
        <v>7</v>
      </c>
      <c r="E5" s="6">
        <v>10</v>
      </c>
      <c r="F5" s="6">
        <v>10</v>
      </c>
      <c r="G5" s="6">
        <v>7</v>
      </c>
      <c r="H5" s="6">
        <v>9</v>
      </c>
      <c r="I5" s="6">
        <v>11</v>
      </c>
      <c r="J5" s="6">
        <v>14</v>
      </c>
      <c r="K5" s="6">
        <v>13</v>
      </c>
      <c r="L5" s="6">
        <v>14</v>
      </c>
      <c r="M5" s="6">
        <v>16</v>
      </c>
      <c r="N5" s="6">
        <v>14</v>
      </c>
      <c r="O5" s="6">
        <v>28</v>
      </c>
      <c r="P5" s="6">
        <v>30</v>
      </c>
      <c r="Q5" s="6">
        <v>34</v>
      </c>
      <c r="R5" s="6">
        <v>38</v>
      </c>
    </row>
    <row r="6" spans="1:20">
      <c r="A6" t="s">
        <v>6</v>
      </c>
      <c r="B6" s="9">
        <v>44662</v>
      </c>
      <c r="C6" s="6">
        <v>0</v>
      </c>
      <c r="D6" s="6">
        <v>0</v>
      </c>
      <c r="E6" s="6">
        <v>2</v>
      </c>
      <c r="F6" s="6">
        <v>2</v>
      </c>
      <c r="G6" s="6">
        <v>9</v>
      </c>
      <c r="H6" s="6">
        <v>4</v>
      </c>
      <c r="I6" s="6">
        <v>6</v>
      </c>
      <c r="J6" s="6">
        <v>12</v>
      </c>
      <c r="K6" s="6">
        <v>4</v>
      </c>
      <c r="L6" s="6">
        <v>7</v>
      </c>
      <c r="M6" s="6">
        <v>7</v>
      </c>
      <c r="N6" s="6">
        <v>7</v>
      </c>
      <c r="O6" s="6">
        <v>22</v>
      </c>
      <c r="P6" s="6">
        <v>24</v>
      </c>
      <c r="Q6" s="6">
        <v>24</v>
      </c>
      <c r="R6" s="6">
        <v>23</v>
      </c>
    </row>
    <row r="7" spans="1:20">
      <c r="A7" t="s">
        <v>7</v>
      </c>
      <c r="B7" s="9">
        <v>44663</v>
      </c>
      <c r="C7" s="6">
        <v>1</v>
      </c>
      <c r="D7" s="6">
        <v>1</v>
      </c>
      <c r="E7" s="6">
        <v>1</v>
      </c>
      <c r="F7" s="6">
        <v>1</v>
      </c>
      <c r="G7" s="6">
        <v>5</v>
      </c>
      <c r="H7" s="6">
        <v>6</v>
      </c>
      <c r="I7" s="6">
        <v>4</v>
      </c>
      <c r="J7" s="6">
        <v>8</v>
      </c>
      <c r="K7" s="6">
        <v>4</v>
      </c>
      <c r="L7" s="6">
        <v>5</v>
      </c>
      <c r="M7" s="6">
        <v>7</v>
      </c>
      <c r="N7" s="6">
        <v>8</v>
      </c>
      <c r="O7" s="6">
        <v>20</v>
      </c>
      <c r="P7" s="6">
        <v>22</v>
      </c>
      <c r="Q7" s="6">
        <v>24</v>
      </c>
      <c r="R7" s="6">
        <v>25</v>
      </c>
    </row>
    <row r="8" spans="1:20">
      <c r="A8" t="s">
        <v>8</v>
      </c>
      <c r="B8" s="9">
        <v>44663</v>
      </c>
      <c r="C8" s="6">
        <v>0</v>
      </c>
      <c r="D8" s="6">
        <v>0</v>
      </c>
      <c r="E8" s="6">
        <v>1</v>
      </c>
      <c r="F8" s="6">
        <v>2</v>
      </c>
      <c r="G8" s="6">
        <v>1</v>
      </c>
      <c r="H8" s="6">
        <v>1</v>
      </c>
      <c r="I8" s="6">
        <v>1</v>
      </c>
      <c r="J8" s="6">
        <v>3</v>
      </c>
      <c r="K8" s="6">
        <v>1</v>
      </c>
      <c r="L8" s="6">
        <v>2</v>
      </c>
      <c r="M8" s="6">
        <v>2</v>
      </c>
      <c r="N8" s="6">
        <v>4</v>
      </c>
      <c r="O8" s="6">
        <v>23</v>
      </c>
      <c r="P8" s="6">
        <v>27</v>
      </c>
      <c r="Q8" s="6">
        <v>31</v>
      </c>
      <c r="R8" s="6">
        <v>33</v>
      </c>
    </row>
    <row r="9" spans="1:20">
      <c r="A9" t="s">
        <v>9</v>
      </c>
      <c r="B9" s="9">
        <v>44664</v>
      </c>
      <c r="C9" s="6">
        <v>0</v>
      </c>
      <c r="D9" s="6">
        <v>1</v>
      </c>
      <c r="E9" s="6">
        <v>1</v>
      </c>
      <c r="F9" s="6">
        <v>2</v>
      </c>
      <c r="G9" s="6">
        <v>1</v>
      </c>
      <c r="H9" s="6">
        <v>2</v>
      </c>
      <c r="I9" s="6">
        <v>4</v>
      </c>
      <c r="J9" s="6">
        <v>4</v>
      </c>
      <c r="K9" s="6">
        <v>2</v>
      </c>
      <c r="L9" s="6">
        <v>2</v>
      </c>
      <c r="M9" s="6">
        <v>3</v>
      </c>
      <c r="N9" s="6">
        <v>3</v>
      </c>
      <c r="O9" s="6">
        <v>5</v>
      </c>
      <c r="P9" s="6">
        <v>7</v>
      </c>
      <c r="Q9" s="6">
        <v>8</v>
      </c>
      <c r="R9" s="6">
        <v>9</v>
      </c>
    </row>
    <row r="10" spans="1:20">
      <c r="A10" t="s">
        <v>10</v>
      </c>
      <c r="B10" s="9">
        <v>44665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1</v>
      </c>
      <c r="J10" s="6">
        <v>3</v>
      </c>
      <c r="K10" s="6">
        <v>1</v>
      </c>
      <c r="L10" s="6">
        <v>2</v>
      </c>
      <c r="M10" s="6">
        <v>2</v>
      </c>
      <c r="N10" s="6">
        <v>4</v>
      </c>
      <c r="O10" s="6">
        <v>4</v>
      </c>
      <c r="P10" s="6">
        <v>5</v>
      </c>
      <c r="Q10" s="6">
        <v>6</v>
      </c>
      <c r="R10" s="6">
        <v>6</v>
      </c>
    </row>
    <row r="11" spans="1:20">
      <c r="A11" t="s">
        <v>11</v>
      </c>
      <c r="B11" s="9">
        <v>44666</v>
      </c>
      <c r="C11" s="6">
        <v>0</v>
      </c>
      <c r="D11" s="6">
        <v>1</v>
      </c>
      <c r="E11" s="6">
        <v>4</v>
      </c>
      <c r="F11" s="6">
        <v>2</v>
      </c>
      <c r="G11" s="6">
        <v>3</v>
      </c>
      <c r="H11" s="6">
        <v>3</v>
      </c>
      <c r="I11" s="6">
        <v>6</v>
      </c>
      <c r="J11" s="6">
        <v>13</v>
      </c>
      <c r="K11" s="6">
        <v>9</v>
      </c>
      <c r="L11" s="6">
        <v>11</v>
      </c>
      <c r="M11" s="6">
        <v>12</v>
      </c>
      <c r="N11" s="6">
        <v>14</v>
      </c>
      <c r="O11" s="6">
        <v>18</v>
      </c>
      <c r="P11" s="6">
        <v>18</v>
      </c>
      <c r="Q11" s="6">
        <v>18</v>
      </c>
      <c r="R11" s="6">
        <v>20</v>
      </c>
    </row>
    <row r="12" spans="1:20">
      <c r="A12" t="s">
        <v>12</v>
      </c>
      <c r="B12" s="9">
        <v>44666</v>
      </c>
      <c r="C12" s="6">
        <v>0</v>
      </c>
      <c r="D12" s="6">
        <v>0</v>
      </c>
      <c r="E12" s="6">
        <v>0</v>
      </c>
      <c r="F12" s="6">
        <v>0</v>
      </c>
      <c r="G12" s="6">
        <v>1</v>
      </c>
      <c r="H12" s="6">
        <v>2</v>
      </c>
      <c r="I12" s="6">
        <v>3</v>
      </c>
      <c r="J12" s="6">
        <v>2</v>
      </c>
      <c r="K12" s="6">
        <v>4</v>
      </c>
      <c r="L12" s="6">
        <v>5</v>
      </c>
      <c r="M12" s="6">
        <v>6</v>
      </c>
      <c r="N12" s="6">
        <v>6</v>
      </c>
      <c r="O12" s="6">
        <v>10</v>
      </c>
      <c r="P12" s="6">
        <v>11</v>
      </c>
      <c r="Q12" s="6">
        <v>11</v>
      </c>
      <c r="R12" s="6">
        <v>15</v>
      </c>
    </row>
    <row r="13" spans="1:20">
      <c r="A13" t="s">
        <v>13</v>
      </c>
      <c r="B13" s="9">
        <v>44667</v>
      </c>
      <c r="C13" s="6">
        <v>0</v>
      </c>
      <c r="D13" s="6">
        <v>0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4</v>
      </c>
      <c r="M13" s="6">
        <v>5</v>
      </c>
      <c r="N13" s="6">
        <v>4</v>
      </c>
      <c r="O13" s="6">
        <v>6</v>
      </c>
      <c r="P13" s="6">
        <v>6</v>
      </c>
      <c r="Q13" s="6">
        <v>10</v>
      </c>
      <c r="R13" s="6">
        <v>12</v>
      </c>
      <c r="T13" t="s">
        <v>14</v>
      </c>
    </row>
    <row r="14" spans="1:20">
      <c r="A14" t="s">
        <v>15</v>
      </c>
      <c r="B14" s="9">
        <v>44667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2</v>
      </c>
      <c r="Q14">
        <v>3</v>
      </c>
      <c r="R14">
        <v>3</v>
      </c>
    </row>
    <row r="15" spans="1:20">
      <c r="A15" t="s">
        <v>16</v>
      </c>
      <c r="B15" s="9">
        <v>44668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2</v>
      </c>
      <c r="M15" s="6">
        <v>3</v>
      </c>
      <c r="N15" s="6">
        <v>4</v>
      </c>
      <c r="O15" s="6">
        <v>2</v>
      </c>
      <c r="P15" s="6">
        <v>4</v>
      </c>
      <c r="Q15" s="6">
        <v>5</v>
      </c>
      <c r="R15" s="6">
        <v>7</v>
      </c>
    </row>
    <row r="16" spans="1:20">
      <c r="A16" t="s">
        <v>17</v>
      </c>
      <c r="B16" s="9">
        <v>44668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2</v>
      </c>
      <c r="M16" s="6">
        <v>2</v>
      </c>
      <c r="N16" s="6">
        <v>4</v>
      </c>
      <c r="O16" s="6">
        <v>10</v>
      </c>
      <c r="P16" s="6">
        <v>11</v>
      </c>
      <c r="Q16" s="6">
        <v>11</v>
      </c>
      <c r="R16" s="6">
        <v>12</v>
      </c>
    </row>
    <row r="17" spans="1:20">
      <c r="A17" t="s">
        <v>18</v>
      </c>
      <c r="B17" s="9">
        <v>44669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1</v>
      </c>
      <c r="M17" s="6">
        <v>1</v>
      </c>
      <c r="N17" s="6">
        <v>1</v>
      </c>
      <c r="O17" s="6">
        <v>10</v>
      </c>
      <c r="P17" s="6">
        <v>19</v>
      </c>
      <c r="Q17" s="6">
        <v>22</v>
      </c>
      <c r="R17" s="6">
        <v>28</v>
      </c>
    </row>
    <row r="18" spans="1:20">
      <c r="A18" t="s">
        <v>19</v>
      </c>
      <c r="B18" s="9">
        <v>44669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1</v>
      </c>
      <c r="L18" s="6">
        <v>4</v>
      </c>
      <c r="M18" s="6">
        <v>5</v>
      </c>
      <c r="N18" s="6">
        <v>6</v>
      </c>
      <c r="O18" s="6">
        <v>8</v>
      </c>
      <c r="P18" s="6">
        <v>11</v>
      </c>
      <c r="Q18" s="6">
        <v>13</v>
      </c>
      <c r="R18" s="6">
        <v>16</v>
      </c>
    </row>
    <row r="19" spans="1:20">
      <c r="A19" t="s">
        <v>20</v>
      </c>
      <c r="B19" s="9">
        <v>44670</v>
      </c>
      <c r="C19" s="6">
        <v>0</v>
      </c>
      <c r="D19" s="6">
        <v>0</v>
      </c>
      <c r="E19" s="6">
        <v>1</v>
      </c>
      <c r="F19" s="6">
        <v>1</v>
      </c>
      <c r="G19" s="6">
        <v>2</v>
      </c>
      <c r="H19" s="6">
        <v>2</v>
      </c>
      <c r="I19" s="6">
        <v>3</v>
      </c>
      <c r="J19" s="6">
        <v>5</v>
      </c>
      <c r="K19" s="6">
        <v>6</v>
      </c>
      <c r="L19" s="6">
        <v>5</v>
      </c>
      <c r="M19" s="6">
        <v>6</v>
      </c>
      <c r="N19" s="6">
        <v>6</v>
      </c>
      <c r="O19" s="6">
        <v>11</v>
      </c>
      <c r="P19" s="6">
        <v>15</v>
      </c>
      <c r="Q19" s="6">
        <v>16</v>
      </c>
      <c r="R19" s="6">
        <v>17</v>
      </c>
    </row>
    <row r="20" spans="1:20">
      <c r="A20" t="s">
        <v>21</v>
      </c>
      <c r="B20" s="9">
        <v>44670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6">
        <v>1</v>
      </c>
      <c r="L20" s="6">
        <v>1</v>
      </c>
      <c r="M20" s="6">
        <v>1</v>
      </c>
      <c r="N20" s="6">
        <v>3</v>
      </c>
      <c r="O20" s="6">
        <v>5</v>
      </c>
      <c r="P20" s="6">
        <v>8</v>
      </c>
      <c r="Q20" s="6">
        <v>10</v>
      </c>
      <c r="R20" s="6">
        <v>14</v>
      </c>
    </row>
    <row r="21" spans="1:20">
      <c r="A21" t="s">
        <v>22</v>
      </c>
      <c r="B21" s="9">
        <v>44671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1</v>
      </c>
      <c r="Q21">
        <v>4</v>
      </c>
      <c r="R21">
        <v>5</v>
      </c>
    </row>
    <row r="22" spans="1:20">
      <c r="A22" t="s">
        <v>23</v>
      </c>
      <c r="B22" s="9">
        <v>44672</v>
      </c>
      <c r="C22" s="6">
        <v>0</v>
      </c>
      <c r="D22" s="6">
        <v>0</v>
      </c>
      <c r="E22" s="6">
        <v>1</v>
      </c>
      <c r="F22" s="6">
        <v>1</v>
      </c>
      <c r="G22" s="6">
        <v>1</v>
      </c>
      <c r="H22" s="6">
        <v>4</v>
      </c>
      <c r="I22" s="6">
        <v>6</v>
      </c>
      <c r="J22" s="6">
        <v>8</v>
      </c>
      <c r="K22" s="6">
        <v>3</v>
      </c>
      <c r="L22" s="6">
        <v>5</v>
      </c>
      <c r="M22" s="6">
        <v>5</v>
      </c>
      <c r="N22" s="6">
        <v>6</v>
      </c>
      <c r="O22" s="6">
        <v>7</v>
      </c>
      <c r="P22" s="6">
        <v>10</v>
      </c>
      <c r="Q22" s="6">
        <v>12</v>
      </c>
      <c r="R22" s="6">
        <v>20</v>
      </c>
    </row>
    <row r="23" spans="1:20">
      <c r="A23" t="s">
        <v>24</v>
      </c>
      <c r="B23" s="9">
        <v>44672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2</v>
      </c>
      <c r="P23" s="6">
        <v>4</v>
      </c>
      <c r="Q23" s="6">
        <v>8</v>
      </c>
      <c r="R23" s="6">
        <v>13</v>
      </c>
      <c r="T23" t="s">
        <v>25</v>
      </c>
    </row>
    <row r="24" spans="1:20">
      <c r="A24" t="s">
        <v>26</v>
      </c>
      <c r="B24" s="9">
        <v>44673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1</v>
      </c>
      <c r="M24" s="6">
        <v>0</v>
      </c>
      <c r="N24" s="6">
        <v>0</v>
      </c>
      <c r="O24" s="6">
        <v>6</v>
      </c>
      <c r="P24" s="6">
        <v>6</v>
      </c>
      <c r="Q24" s="6">
        <v>7</v>
      </c>
      <c r="R24" s="6">
        <v>15</v>
      </c>
      <c r="T24" t="s">
        <v>27</v>
      </c>
    </row>
    <row r="25" spans="1:20">
      <c r="A25" t="s">
        <v>28</v>
      </c>
      <c r="B25" s="9">
        <v>44674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1</v>
      </c>
      <c r="K25" s="6">
        <v>1</v>
      </c>
      <c r="L25" s="6">
        <v>1</v>
      </c>
      <c r="M25" s="6">
        <v>2</v>
      </c>
      <c r="N25" s="6">
        <v>2</v>
      </c>
      <c r="O25" s="6">
        <v>0</v>
      </c>
      <c r="P25" s="6">
        <v>1</v>
      </c>
      <c r="Q25" s="6">
        <v>1</v>
      </c>
      <c r="R25" s="6">
        <v>1</v>
      </c>
      <c r="T25" t="s">
        <v>27</v>
      </c>
    </row>
    <row r="26" spans="1:20">
      <c r="A26" t="s">
        <v>29</v>
      </c>
      <c r="B26" s="9">
        <v>44674</v>
      </c>
      <c r="C26" s="6">
        <v>0</v>
      </c>
      <c r="D26" s="6">
        <v>0</v>
      </c>
      <c r="E26" s="6">
        <v>0</v>
      </c>
      <c r="F26" s="6">
        <v>0</v>
      </c>
      <c r="G26" s="6">
        <v>2</v>
      </c>
      <c r="H26" s="6">
        <v>3</v>
      </c>
      <c r="I26" s="6">
        <v>3</v>
      </c>
      <c r="J26" s="6">
        <v>3</v>
      </c>
      <c r="K26" s="6">
        <v>4</v>
      </c>
      <c r="L26" s="6">
        <v>4</v>
      </c>
      <c r="M26" s="6">
        <v>4</v>
      </c>
      <c r="N26" s="6">
        <v>6</v>
      </c>
      <c r="O26" s="6">
        <v>8</v>
      </c>
      <c r="P26" s="6">
        <v>10</v>
      </c>
      <c r="Q26" s="6">
        <v>16</v>
      </c>
      <c r="R26" s="6">
        <v>19</v>
      </c>
    </row>
    <row r="27" spans="1:20">
      <c r="A27" t="s">
        <v>30</v>
      </c>
      <c r="B27" s="9">
        <v>44675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1</v>
      </c>
      <c r="L27" s="6">
        <v>1</v>
      </c>
      <c r="M27" s="6">
        <v>2</v>
      </c>
      <c r="N27" s="6">
        <v>2</v>
      </c>
      <c r="O27" s="6">
        <v>1</v>
      </c>
      <c r="P27" s="6">
        <v>2</v>
      </c>
      <c r="Q27" s="6">
        <v>2</v>
      </c>
      <c r="R27" s="6">
        <v>2</v>
      </c>
    </row>
    <row r="28" spans="1:20">
      <c r="A28" t="s">
        <v>31</v>
      </c>
      <c r="B28" s="9">
        <v>44675</v>
      </c>
      <c r="C28" s="6">
        <v>0</v>
      </c>
      <c r="D28" s="6">
        <v>0</v>
      </c>
      <c r="E28" s="6">
        <v>0</v>
      </c>
      <c r="F28" s="6">
        <v>0</v>
      </c>
      <c r="G28" s="6">
        <v>2</v>
      </c>
      <c r="H28" s="6">
        <v>2</v>
      </c>
      <c r="I28" s="6">
        <v>3</v>
      </c>
      <c r="J28" s="6">
        <v>3</v>
      </c>
      <c r="K28" s="6">
        <v>5</v>
      </c>
      <c r="L28" s="6">
        <v>5</v>
      </c>
      <c r="M28" s="6">
        <v>8</v>
      </c>
      <c r="N28" s="6">
        <v>7</v>
      </c>
      <c r="O28" s="6">
        <v>26</v>
      </c>
      <c r="P28" s="6">
        <v>30</v>
      </c>
      <c r="Q28" s="6">
        <v>33</v>
      </c>
      <c r="R28" s="6">
        <v>39</v>
      </c>
      <c r="T28" t="s">
        <v>14</v>
      </c>
    </row>
    <row r="29" spans="1:20">
      <c r="A29" t="s">
        <v>32</v>
      </c>
      <c r="B29" s="9">
        <v>44676</v>
      </c>
      <c r="C29" s="6">
        <v>1</v>
      </c>
      <c r="D29" s="6">
        <v>1</v>
      </c>
      <c r="E29" s="6">
        <v>0</v>
      </c>
      <c r="F29" s="6">
        <v>1</v>
      </c>
      <c r="G29" s="6">
        <v>1</v>
      </c>
      <c r="H29" s="6">
        <v>1</v>
      </c>
      <c r="I29" s="6">
        <v>5</v>
      </c>
      <c r="J29" s="6">
        <v>16</v>
      </c>
      <c r="K29" s="6">
        <v>7</v>
      </c>
      <c r="L29" s="6">
        <v>6</v>
      </c>
      <c r="M29" s="6">
        <v>18</v>
      </c>
      <c r="N29" s="6">
        <v>22</v>
      </c>
      <c r="O29" s="6">
        <v>16</v>
      </c>
      <c r="P29" s="6">
        <v>16</v>
      </c>
      <c r="Q29" s="6">
        <v>24</v>
      </c>
      <c r="R29" s="6">
        <v>25</v>
      </c>
    </row>
    <row r="30" spans="1:20">
      <c r="A30" t="s">
        <v>33</v>
      </c>
      <c r="B30" s="9">
        <v>44676</v>
      </c>
      <c r="C30">
        <v>1</v>
      </c>
      <c r="D30">
        <v>1</v>
      </c>
      <c r="E30">
        <v>1</v>
      </c>
      <c r="F30">
        <v>2</v>
      </c>
      <c r="G30">
        <v>0</v>
      </c>
      <c r="H30">
        <v>1</v>
      </c>
      <c r="I30">
        <v>5</v>
      </c>
      <c r="J30">
        <v>9</v>
      </c>
      <c r="K30" s="6">
        <v>7</v>
      </c>
      <c r="L30" s="6">
        <v>10</v>
      </c>
      <c r="M30" s="6">
        <v>17</v>
      </c>
      <c r="N30" s="6">
        <v>20</v>
      </c>
      <c r="O30" s="6">
        <v>14</v>
      </c>
      <c r="P30" s="6">
        <v>21</v>
      </c>
      <c r="Q30" s="6">
        <v>21</v>
      </c>
      <c r="R30" s="6">
        <v>22</v>
      </c>
    </row>
    <row r="31" spans="1:20">
      <c r="A31" t="s">
        <v>34</v>
      </c>
      <c r="B31" s="9">
        <v>44677</v>
      </c>
      <c r="C31">
        <v>1</v>
      </c>
      <c r="D31">
        <v>1</v>
      </c>
      <c r="E31">
        <v>1</v>
      </c>
      <c r="F31">
        <v>2</v>
      </c>
      <c r="G31">
        <v>2</v>
      </c>
      <c r="H31">
        <v>3</v>
      </c>
      <c r="I31">
        <v>8</v>
      </c>
      <c r="J31">
        <v>9</v>
      </c>
      <c r="K31" s="6">
        <v>2</v>
      </c>
      <c r="L31" s="6">
        <v>4</v>
      </c>
      <c r="M31" s="6">
        <v>6</v>
      </c>
      <c r="N31" s="6">
        <v>6</v>
      </c>
      <c r="O31" s="6">
        <v>19</v>
      </c>
      <c r="P31" s="6">
        <v>23</v>
      </c>
      <c r="Q31" s="6">
        <v>26</v>
      </c>
      <c r="R31" s="6">
        <v>30</v>
      </c>
    </row>
    <row r="32" spans="1:20">
      <c r="B32" s="26">
        <v>1.01</v>
      </c>
      <c r="C32" s="26"/>
      <c r="D32" s="26"/>
      <c r="E32" s="26"/>
      <c r="G32" s="26">
        <v>0.99</v>
      </c>
      <c r="H32" s="26"/>
      <c r="I32" s="26"/>
      <c r="J32" s="26"/>
      <c r="L32" s="26">
        <v>0.97</v>
      </c>
      <c r="M32" s="26"/>
      <c r="N32" s="26"/>
      <c r="O32" s="26"/>
      <c r="Q32" s="26">
        <v>0.95</v>
      </c>
      <c r="R32" s="26"/>
      <c r="S32" s="26"/>
      <c r="T32" s="26"/>
    </row>
    <row r="33" spans="2:20">
      <c r="B33" s="2">
        <v>-17</v>
      </c>
      <c r="C33">
        <v>-20</v>
      </c>
      <c r="D33">
        <v>-23</v>
      </c>
      <c r="E33">
        <v>-26</v>
      </c>
      <c r="G33" s="2">
        <v>-17</v>
      </c>
      <c r="H33">
        <v>-20</v>
      </c>
      <c r="I33">
        <v>-23</v>
      </c>
      <c r="J33">
        <v>-26</v>
      </c>
      <c r="L33" s="2">
        <v>-17</v>
      </c>
      <c r="M33">
        <v>-20</v>
      </c>
      <c r="N33">
        <v>-23</v>
      </c>
      <c r="O33">
        <v>-26</v>
      </c>
      <c r="Q33" s="2">
        <v>-17</v>
      </c>
      <c r="R33">
        <v>-20</v>
      </c>
      <c r="S33">
        <v>-23</v>
      </c>
      <c r="T33">
        <v>-26</v>
      </c>
    </row>
    <row r="34" spans="2:20">
      <c r="B34" s="6">
        <v>2</v>
      </c>
      <c r="C34" s="6">
        <v>4</v>
      </c>
      <c r="D34" s="6">
        <v>13</v>
      </c>
      <c r="E34" s="6">
        <v>20</v>
      </c>
      <c r="G34" s="6">
        <v>1</v>
      </c>
      <c r="H34" s="6">
        <v>4</v>
      </c>
      <c r="I34" s="6">
        <v>4</v>
      </c>
      <c r="J34" s="6">
        <v>19</v>
      </c>
      <c r="L34" s="6">
        <v>2</v>
      </c>
      <c r="M34" s="6">
        <v>2</v>
      </c>
      <c r="N34" s="6">
        <v>2</v>
      </c>
      <c r="O34" s="6">
        <v>18</v>
      </c>
      <c r="Q34" s="6">
        <v>2</v>
      </c>
      <c r="R34" s="6">
        <v>2</v>
      </c>
      <c r="S34" s="6">
        <v>2</v>
      </c>
      <c r="T34" s="6">
        <v>15</v>
      </c>
    </row>
    <row r="35" spans="2:20">
      <c r="B35" s="6">
        <v>10</v>
      </c>
      <c r="C35" s="6">
        <v>14</v>
      </c>
      <c r="D35" s="6">
        <v>14</v>
      </c>
      <c r="E35" s="6">
        <v>38</v>
      </c>
      <c r="G35" s="6">
        <v>10</v>
      </c>
      <c r="H35" s="6">
        <v>11</v>
      </c>
      <c r="I35" s="6">
        <v>16</v>
      </c>
      <c r="J35" s="6">
        <v>34</v>
      </c>
      <c r="L35" s="6">
        <v>7</v>
      </c>
      <c r="M35" s="6">
        <v>9</v>
      </c>
      <c r="N35" s="6">
        <v>14</v>
      </c>
      <c r="O35" s="6">
        <v>30</v>
      </c>
      <c r="Q35" s="6">
        <v>1</v>
      </c>
      <c r="R35" s="6">
        <v>7</v>
      </c>
      <c r="S35" s="6">
        <v>13</v>
      </c>
      <c r="T35" s="6">
        <v>28</v>
      </c>
    </row>
    <row r="36" spans="2:20">
      <c r="B36" s="6">
        <v>2</v>
      </c>
      <c r="C36" s="6">
        <v>12</v>
      </c>
      <c r="D36" s="6">
        <v>7</v>
      </c>
      <c r="E36" s="6">
        <v>23</v>
      </c>
      <c r="G36" s="6">
        <v>2</v>
      </c>
      <c r="H36" s="6">
        <v>6</v>
      </c>
      <c r="I36" s="6">
        <v>7</v>
      </c>
      <c r="J36" s="6">
        <v>24</v>
      </c>
      <c r="L36" s="6">
        <v>0</v>
      </c>
      <c r="M36" s="6">
        <v>4</v>
      </c>
      <c r="N36" s="6">
        <v>7</v>
      </c>
      <c r="O36" s="6">
        <v>24</v>
      </c>
      <c r="Q36" s="6">
        <v>0</v>
      </c>
      <c r="R36" s="6">
        <v>9</v>
      </c>
      <c r="S36" s="6">
        <v>4</v>
      </c>
      <c r="T36" s="6">
        <v>22</v>
      </c>
    </row>
    <row r="37" spans="2:20">
      <c r="B37" s="6">
        <v>1</v>
      </c>
      <c r="C37" s="6">
        <v>8</v>
      </c>
      <c r="D37" s="6">
        <v>8</v>
      </c>
      <c r="E37" s="6">
        <v>25</v>
      </c>
      <c r="G37" s="6">
        <v>1</v>
      </c>
      <c r="H37" s="6">
        <v>4</v>
      </c>
      <c r="I37" s="6">
        <v>7</v>
      </c>
      <c r="J37" s="6">
        <v>24</v>
      </c>
      <c r="L37" s="6">
        <v>1</v>
      </c>
      <c r="M37" s="6">
        <v>6</v>
      </c>
      <c r="N37" s="6">
        <v>5</v>
      </c>
      <c r="O37" s="6">
        <v>22</v>
      </c>
      <c r="Q37" s="6">
        <v>1</v>
      </c>
      <c r="R37" s="6">
        <v>5</v>
      </c>
      <c r="S37" s="6">
        <v>4</v>
      </c>
      <c r="T37" s="6">
        <v>20</v>
      </c>
    </row>
    <row r="38" spans="2:20">
      <c r="B38" s="6">
        <v>2</v>
      </c>
      <c r="C38" s="6">
        <v>3</v>
      </c>
      <c r="D38" s="6">
        <v>4</v>
      </c>
      <c r="E38" s="6">
        <v>33</v>
      </c>
      <c r="G38" s="6">
        <v>1</v>
      </c>
      <c r="H38" s="6">
        <v>1</v>
      </c>
      <c r="I38" s="6">
        <v>2</v>
      </c>
      <c r="J38" s="6">
        <v>31</v>
      </c>
      <c r="L38" s="6">
        <v>0</v>
      </c>
      <c r="M38" s="6">
        <v>1</v>
      </c>
      <c r="N38" s="6">
        <v>2</v>
      </c>
      <c r="O38" s="6">
        <v>27</v>
      </c>
      <c r="Q38" s="6">
        <v>0</v>
      </c>
      <c r="R38" s="6">
        <v>1</v>
      </c>
      <c r="S38" s="6">
        <v>1</v>
      </c>
      <c r="T38" s="6">
        <v>23</v>
      </c>
    </row>
    <row r="39" spans="2:20">
      <c r="B39" s="6">
        <v>2</v>
      </c>
      <c r="C39" s="6">
        <v>4</v>
      </c>
      <c r="D39" s="6">
        <v>3</v>
      </c>
      <c r="E39" s="6">
        <v>9</v>
      </c>
      <c r="G39" s="6">
        <v>1</v>
      </c>
      <c r="H39" s="6">
        <v>4</v>
      </c>
      <c r="I39" s="6">
        <v>3</v>
      </c>
      <c r="J39" s="6">
        <v>8</v>
      </c>
      <c r="L39" s="6">
        <v>1</v>
      </c>
      <c r="M39" s="6">
        <v>2</v>
      </c>
      <c r="N39" s="6">
        <v>2</v>
      </c>
      <c r="O39" s="6">
        <v>7</v>
      </c>
      <c r="Q39" s="6">
        <v>0</v>
      </c>
      <c r="R39" s="6">
        <v>1</v>
      </c>
      <c r="S39" s="6">
        <v>2</v>
      </c>
      <c r="T39" s="6">
        <v>5</v>
      </c>
    </row>
    <row r="40" spans="2:20">
      <c r="B40" s="6">
        <v>0</v>
      </c>
      <c r="C40" s="6">
        <v>3</v>
      </c>
      <c r="D40" s="6">
        <v>4</v>
      </c>
      <c r="E40" s="6">
        <v>6</v>
      </c>
      <c r="G40" s="6">
        <v>0</v>
      </c>
      <c r="H40" s="6">
        <v>1</v>
      </c>
      <c r="I40" s="6">
        <v>2</v>
      </c>
      <c r="J40" s="6">
        <v>6</v>
      </c>
      <c r="L40" s="6">
        <v>0</v>
      </c>
      <c r="M40" s="6">
        <v>0</v>
      </c>
      <c r="N40" s="6">
        <v>2</v>
      </c>
      <c r="O40" s="6">
        <v>5</v>
      </c>
      <c r="Q40" s="6">
        <v>0</v>
      </c>
      <c r="R40" s="6">
        <v>0</v>
      </c>
      <c r="S40" s="6">
        <v>1</v>
      </c>
      <c r="T40" s="6">
        <v>4</v>
      </c>
    </row>
    <row r="41" spans="2:20">
      <c r="B41" s="6">
        <v>2</v>
      </c>
      <c r="C41" s="6">
        <v>13</v>
      </c>
      <c r="D41" s="6">
        <v>14</v>
      </c>
      <c r="E41" s="6">
        <v>20</v>
      </c>
      <c r="G41" s="6">
        <v>4</v>
      </c>
      <c r="H41" s="6">
        <v>6</v>
      </c>
      <c r="I41" s="6">
        <v>12</v>
      </c>
      <c r="J41" s="6">
        <v>18</v>
      </c>
      <c r="L41" s="6">
        <v>1</v>
      </c>
      <c r="M41" s="6">
        <v>3</v>
      </c>
      <c r="N41" s="6">
        <v>11</v>
      </c>
      <c r="O41" s="6">
        <v>18</v>
      </c>
      <c r="Q41" s="6">
        <v>0</v>
      </c>
      <c r="R41" s="6">
        <v>3</v>
      </c>
      <c r="S41" s="6">
        <v>9</v>
      </c>
      <c r="T41" s="6">
        <v>18</v>
      </c>
    </row>
    <row r="42" spans="2:20">
      <c r="B42" s="6">
        <v>0</v>
      </c>
      <c r="C42" s="6">
        <v>2</v>
      </c>
      <c r="D42" s="6">
        <v>6</v>
      </c>
      <c r="E42" s="6">
        <v>15</v>
      </c>
      <c r="G42" s="6">
        <v>0</v>
      </c>
      <c r="H42" s="6">
        <v>3</v>
      </c>
      <c r="I42" s="6">
        <v>6</v>
      </c>
      <c r="J42" s="6">
        <v>11</v>
      </c>
      <c r="L42" s="6">
        <v>0</v>
      </c>
      <c r="M42" s="6">
        <v>2</v>
      </c>
      <c r="N42" s="6">
        <v>5</v>
      </c>
      <c r="O42" s="6">
        <v>11</v>
      </c>
      <c r="Q42" s="6">
        <v>0</v>
      </c>
      <c r="R42" s="6">
        <v>1</v>
      </c>
      <c r="S42" s="6">
        <v>4</v>
      </c>
      <c r="T42" s="6">
        <v>10</v>
      </c>
    </row>
    <row r="43" spans="2:20">
      <c r="B43" s="6">
        <v>1</v>
      </c>
      <c r="C43" s="6">
        <v>1</v>
      </c>
      <c r="D43" s="6">
        <v>4</v>
      </c>
      <c r="E43" s="6">
        <v>12</v>
      </c>
      <c r="G43" s="6">
        <v>1</v>
      </c>
      <c r="H43" s="6">
        <v>1</v>
      </c>
      <c r="I43" s="6">
        <v>5</v>
      </c>
      <c r="J43" s="6">
        <v>10</v>
      </c>
      <c r="L43" s="6">
        <v>0</v>
      </c>
      <c r="M43" s="6">
        <v>1</v>
      </c>
      <c r="N43" s="6">
        <v>4</v>
      </c>
      <c r="O43" s="6">
        <v>6</v>
      </c>
      <c r="Q43" s="6">
        <v>0</v>
      </c>
      <c r="R43" s="6">
        <v>1</v>
      </c>
      <c r="S43" s="6">
        <v>1</v>
      </c>
      <c r="T43" s="6">
        <v>6</v>
      </c>
    </row>
    <row r="44" spans="2:20">
      <c r="B44">
        <v>0</v>
      </c>
      <c r="C44">
        <v>1</v>
      </c>
      <c r="D44">
        <v>1</v>
      </c>
      <c r="E44">
        <v>3</v>
      </c>
      <c r="G44">
        <v>0</v>
      </c>
      <c r="H44">
        <v>1</v>
      </c>
      <c r="I44">
        <v>1</v>
      </c>
      <c r="J44">
        <v>3</v>
      </c>
      <c r="L44">
        <v>0</v>
      </c>
      <c r="M44">
        <v>0</v>
      </c>
      <c r="N44">
        <v>1</v>
      </c>
      <c r="O44">
        <v>2</v>
      </c>
      <c r="Q44">
        <v>0</v>
      </c>
      <c r="R44">
        <v>0</v>
      </c>
      <c r="S44">
        <v>1</v>
      </c>
      <c r="T44">
        <v>1</v>
      </c>
    </row>
    <row r="45" spans="2:20">
      <c r="B45" s="6">
        <v>0</v>
      </c>
      <c r="C45" s="6">
        <v>0</v>
      </c>
      <c r="D45" s="6">
        <v>4</v>
      </c>
      <c r="E45" s="6">
        <v>7</v>
      </c>
      <c r="G45" s="6">
        <v>0</v>
      </c>
      <c r="H45" s="6">
        <v>0</v>
      </c>
      <c r="I45" s="6">
        <v>3</v>
      </c>
      <c r="J45" s="6">
        <v>5</v>
      </c>
      <c r="L45" s="6">
        <v>0</v>
      </c>
      <c r="M45" s="6">
        <v>0</v>
      </c>
      <c r="N45" s="6">
        <v>2</v>
      </c>
      <c r="O45" s="6">
        <v>4</v>
      </c>
      <c r="Q45" s="6">
        <v>0</v>
      </c>
      <c r="R45" s="6">
        <v>0</v>
      </c>
      <c r="S45" s="6">
        <v>0</v>
      </c>
      <c r="T45" s="6">
        <v>2</v>
      </c>
    </row>
    <row r="46" spans="2:20">
      <c r="B46" s="6">
        <v>0</v>
      </c>
      <c r="C46" s="6">
        <v>0</v>
      </c>
      <c r="D46" s="6">
        <v>4</v>
      </c>
      <c r="E46" s="6">
        <v>12</v>
      </c>
      <c r="G46" s="6">
        <v>0</v>
      </c>
      <c r="H46" s="6">
        <v>0</v>
      </c>
      <c r="I46" s="6">
        <v>2</v>
      </c>
      <c r="J46" s="6">
        <v>11</v>
      </c>
      <c r="L46" s="6">
        <v>0</v>
      </c>
      <c r="M46" s="6">
        <v>0</v>
      </c>
      <c r="N46" s="6">
        <v>2</v>
      </c>
      <c r="O46" s="6">
        <v>11</v>
      </c>
      <c r="Q46" s="6">
        <v>0</v>
      </c>
      <c r="R46" s="6">
        <v>0</v>
      </c>
      <c r="S46" s="6">
        <v>0</v>
      </c>
      <c r="T46" s="6">
        <v>10</v>
      </c>
    </row>
    <row r="47" spans="2:20">
      <c r="B47" s="6">
        <v>0</v>
      </c>
      <c r="C47" s="6">
        <v>0</v>
      </c>
      <c r="D47" s="6">
        <v>1</v>
      </c>
      <c r="E47" s="6">
        <v>28</v>
      </c>
      <c r="G47" s="6">
        <v>0</v>
      </c>
      <c r="H47" s="6">
        <v>0</v>
      </c>
      <c r="I47" s="6">
        <v>1</v>
      </c>
      <c r="J47" s="6">
        <v>22</v>
      </c>
      <c r="L47" s="6">
        <v>0</v>
      </c>
      <c r="M47" s="6">
        <v>0</v>
      </c>
      <c r="N47" s="6">
        <v>1</v>
      </c>
      <c r="O47" s="6">
        <v>19</v>
      </c>
      <c r="Q47" s="6">
        <v>0</v>
      </c>
      <c r="R47" s="6">
        <v>0</v>
      </c>
      <c r="S47" s="6">
        <v>0</v>
      </c>
      <c r="T47" s="6">
        <v>10</v>
      </c>
    </row>
    <row r="48" spans="2:20">
      <c r="B48" s="6">
        <v>0</v>
      </c>
      <c r="C48" s="6">
        <v>0</v>
      </c>
      <c r="D48" s="6">
        <v>6</v>
      </c>
      <c r="E48" s="6">
        <v>16</v>
      </c>
      <c r="G48" s="6">
        <v>0</v>
      </c>
      <c r="H48" s="6">
        <v>0</v>
      </c>
      <c r="I48" s="6">
        <v>5</v>
      </c>
      <c r="J48" s="6">
        <v>13</v>
      </c>
      <c r="L48" s="6">
        <v>0</v>
      </c>
      <c r="M48" s="6">
        <v>0</v>
      </c>
      <c r="N48" s="6">
        <v>4</v>
      </c>
      <c r="O48" s="6">
        <v>11</v>
      </c>
      <c r="Q48" s="6">
        <v>0</v>
      </c>
      <c r="R48" s="6">
        <v>0</v>
      </c>
      <c r="S48" s="6">
        <v>1</v>
      </c>
      <c r="T48" s="6">
        <v>8</v>
      </c>
    </row>
    <row r="49" spans="2:20">
      <c r="B49" s="6">
        <v>1</v>
      </c>
      <c r="C49" s="6">
        <v>5</v>
      </c>
      <c r="D49" s="6">
        <v>6</v>
      </c>
      <c r="E49" s="6">
        <v>17</v>
      </c>
      <c r="G49" s="6">
        <v>1</v>
      </c>
      <c r="H49" s="6">
        <v>3</v>
      </c>
      <c r="I49" s="6">
        <v>6</v>
      </c>
      <c r="J49" s="6">
        <v>16</v>
      </c>
      <c r="L49" s="6">
        <v>0</v>
      </c>
      <c r="M49" s="6">
        <v>2</v>
      </c>
      <c r="N49" s="6">
        <v>5</v>
      </c>
      <c r="O49" s="6">
        <v>15</v>
      </c>
      <c r="Q49" s="6">
        <v>0</v>
      </c>
      <c r="R49" s="6">
        <v>2</v>
      </c>
      <c r="S49" s="6">
        <v>6</v>
      </c>
      <c r="T49" s="6">
        <v>11</v>
      </c>
    </row>
    <row r="50" spans="2:20">
      <c r="B50">
        <v>0</v>
      </c>
      <c r="C50">
        <v>0</v>
      </c>
      <c r="D50" s="6">
        <v>3</v>
      </c>
      <c r="E50" s="6">
        <v>14</v>
      </c>
      <c r="G50">
        <v>0</v>
      </c>
      <c r="H50">
        <v>0</v>
      </c>
      <c r="I50" s="6">
        <v>1</v>
      </c>
      <c r="J50" s="6">
        <v>10</v>
      </c>
      <c r="L50">
        <v>0</v>
      </c>
      <c r="M50">
        <v>0</v>
      </c>
      <c r="N50" s="6">
        <v>1</v>
      </c>
      <c r="O50" s="6">
        <v>8</v>
      </c>
      <c r="Q50">
        <v>0</v>
      </c>
      <c r="R50">
        <v>0</v>
      </c>
      <c r="S50" s="6">
        <v>1</v>
      </c>
      <c r="T50" s="6">
        <v>5</v>
      </c>
    </row>
    <row r="51" spans="2:20">
      <c r="B51">
        <v>0</v>
      </c>
      <c r="C51">
        <v>0</v>
      </c>
      <c r="D51">
        <v>1</v>
      </c>
      <c r="E51">
        <v>5</v>
      </c>
      <c r="G51">
        <v>0</v>
      </c>
      <c r="H51">
        <v>0</v>
      </c>
      <c r="I51">
        <v>0</v>
      </c>
      <c r="J51">
        <v>4</v>
      </c>
      <c r="L51">
        <v>0</v>
      </c>
      <c r="M51">
        <v>0</v>
      </c>
      <c r="N51">
        <v>0</v>
      </c>
      <c r="O51">
        <v>1</v>
      </c>
      <c r="Q51">
        <v>0</v>
      </c>
      <c r="R51">
        <v>0</v>
      </c>
      <c r="S51">
        <v>0</v>
      </c>
      <c r="T51">
        <v>1</v>
      </c>
    </row>
    <row r="52" spans="2:20">
      <c r="B52" s="6">
        <v>1</v>
      </c>
      <c r="C52" s="6">
        <v>8</v>
      </c>
      <c r="D52" s="6">
        <v>6</v>
      </c>
      <c r="E52" s="6">
        <v>20</v>
      </c>
      <c r="G52" s="6">
        <v>1</v>
      </c>
      <c r="H52" s="6">
        <v>6</v>
      </c>
      <c r="I52" s="6">
        <v>5</v>
      </c>
      <c r="J52" s="6">
        <v>12</v>
      </c>
      <c r="L52" s="6">
        <v>0</v>
      </c>
      <c r="M52" s="6">
        <v>4</v>
      </c>
      <c r="N52" s="6">
        <v>5</v>
      </c>
      <c r="O52" s="6">
        <v>10</v>
      </c>
      <c r="Q52" s="6">
        <v>0</v>
      </c>
      <c r="R52" s="6">
        <v>1</v>
      </c>
      <c r="S52" s="6">
        <v>3</v>
      </c>
      <c r="T52" s="6">
        <v>7</v>
      </c>
    </row>
    <row r="53" spans="2:20">
      <c r="B53" s="6">
        <v>0</v>
      </c>
      <c r="C53" s="6">
        <v>0</v>
      </c>
      <c r="D53" s="6">
        <v>0</v>
      </c>
      <c r="E53" s="6">
        <v>13</v>
      </c>
      <c r="G53" s="6">
        <v>0</v>
      </c>
      <c r="H53" s="6">
        <v>0</v>
      </c>
      <c r="I53" s="6">
        <v>0</v>
      </c>
      <c r="J53" s="6">
        <v>8</v>
      </c>
      <c r="L53" s="6">
        <v>0</v>
      </c>
      <c r="M53" s="6">
        <v>0</v>
      </c>
      <c r="N53" s="6">
        <v>0</v>
      </c>
      <c r="O53" s="6">
        <v>4</v>
      </c>
      <c r="Q53" s="6">
        <v>0</v>
      </c>
      <c r="R53" s="6">
        <v>0</v>
      </c>
      <c r="S53" s="6">
        <v>0</v>
      </c>
      <c r="T53" s="6">
        <v>2</v>
      </c>
    </row>
    <row r="54" spans="2:20">
      <c r="B54" s="6">
        <v>0</v>
      </c>
      <c r="C54" s="6">
        <v>0</v>
      </c>
      <c r="D54" s="6">
        <v>0</v>
      </c>
      <c r="E54" s="6">
        <v>15</v>
      </c>
      <c r="G54" s="6">
        <v>0</v>
      </c>
      <c r="H54" s="6">
        <v>0</v>
      </c>
      <c r="I54" s="6">
        <v>0</v>
      </c>
      <c r="J54" s="6">
        <v>7</v>
      </c>
      <c r="L54" s="6">
        <v>0</v>
      </c>
      <c r="M54" s="6">
        <v>0</v>
      </c>
      <c r="N54" s="6">
        <v>1</v>
      </c>
      <c r="O54" s="6">
        <v>6</v>
      </c>
      <c r="Q54" s="6">
        <v>0</v>
      </c>
      <c r="R54" s="6">
        <v>0</v>
      </c>
      <c r="S54" s="6">
        <v>0</v>
      </c>
      <c r="T54" s="6">
        <v>6</v>
      </c>
    </row>
    <row r="55" spans="2:20">
      <c r="B55" s="6">
        <v>0</v>
      </c>
      <c r="C55" s="6">
        <v>1</v>
      </c>
      <c r="D55" s="6">
        <v>2</v>
      </c>
      <c r="E55" s="6">
        <v>1</v>
      </c>
      <c r="G55" s="6">
        <v>0</v>
      </c>
      <c r="H55" s="6">
        <v>0</v>
      </c>
      <c r="I55" s="6">
        <v>2</v>
      </c>
      <c r="J55" s="6">
        <v>1</v>
      </c>
      <c r="L55" s="6">
        <v>0</v>
      </c>
      <c r="M55" s="6">
        <v>0</v>
      </c>
      <c r="N55" s="6">
        <v>1</v>
      </c>
      <c r="O55" s="6">
        <v>1</v>
      </c>
      <c r="Q55" s="6">
        <v>0</v>
      </c>
      <c r="R55" s="6">
        <v>0</v>
      </c>
      <c r="S55" s="6">
        <v>1</v>
      </c>
      <c r="T55" s="6">
        <v>0</v>
      </c>
    </row>
    <row r="56" spans="2:20">
      <c r="B56" s="6">
        <v>0</v>
      </c>
      <c r="C56" s="6">
        <v>3</v>
      </c>
      <c r="D56" s="6">
        <v>6</v>
      </c>
      <c r="E56" s="6">
        <v>19</v>
      </c>
      <c r="G56" s="6">
        <v>0</v>
      </c>
      <c r="H56" s="6">
        <v>3</v>
      </c>
      <c r="I56" s="6">
        <v>4</v>
      </c>
      <c r="J56" s="6">
        <v>16</v>
      </c>
      <c r="L56" s="6">
        <v>0</v>
      </c>
      <c r="M56" s="6">
        <v>3</v>
      </c>
      <c r="N56" s="6">
        <v>4</v>
      </c>
      <c r="O56" s="6">
        <v>10</v>
      </c>
      <c r="Q56" s="6">
        <v>0</v>
      </c>
      <c r="R56" s="6">
        <v>2</v>
      </c>
      <c r="S56" s="6">
        <v>4</v>
      </c>
      <c r="T56" s="6">
        <v>8</v>
      </c>
    </row>
    <row r="57" spans="2:20">
      <c r="B57" s="6">
        <v>0</v>
      </c>
      <c r="C57" s="6">
        <v>0</v>
      </c>
      <c r="D57" s="6">
        <v>2</v>
      </c>
      <c r="E57" s="6">
        <v>2</v>
      </c>
      <c r="G57" s="6">
        <v>0</v>
      </c>
      <c r="H57" s="6">
        <v>0</v>
      </c>
      <c r="I57" s="6">
        <v>2</v>
      </c>
      <c r="J57" s="6">
        <v>2</v>
      </c>
      <c r="L57" s="6">
        <v>0</v>
      </c>
      <c r="M57" s="6">
        <v>0</v>
      </c>
      <c r="N57" s="6">
        <v>1</v>
      </c>
      <c r="O57" s="6">
        <v>2</v>
      </c>
      <c r="Q57" s="6">
        <v>0</v>
      </c>
      <c r="R57" s="6">
        <v>0</v>
      </c>
      <c r="S57" s="6">
        <v>1</v>
      </c>
      <c r="T57" s="6">
        <v>1</v>
      </c>
    </row>
    <row r="58" spans="2:20">
      <c r="B58" s="6">
        <v>0</v>
      </c>
      <c r="C58" s="6">
        <v>3</v>
      </c>
      <c r="D58" s="6">
        <v>7</v>
      </c>
      <c r="E58" s="6">
        <v>39</v>
      </c>
      <c r="G58" s="6">
        <v>0</v>
      </c>
      <c r="H58" s="6">
        <v>3</v>
      </c>
      <c r="I58" s="6">
        <v>8</v>
      </c>
      <c r="J58" s="6">
        <v>33</v>
      </c>
      <c r="L58" s="6">
        <v>0</v>
      </c>
      <c r="M58" s="6">
        <v>2</v>
      </c>
      <c r="N58" s="6">
        <v>5</v>
      </c>
      <c r="O58" s="6">
        <v>30</v>
      </c>
      <c r="Q58" s="6">
        <v>0</v>
      </c>
      <c r="R58" s="6">
        <v>2</v>
      </c>
      <c r="S58" s="6">
        <v>5</v>
      </c>
      <c r="T58" s="6">
        <v>26</v>
      </c>
    </row>
    <row r="59" spans="2:20">
      <c r="B59" s="6">
        <v>1</v>
      </c>
      <c r="C59" s="6">
        <v>16</v>
      </c>
      <c r="D59" s="6">
        <v>22</v>
      </c>
      <c r="E59" s="6">
        <v>25</v>
      </c>
      <c r="G59" s="6">
        <v>0</v>
      </c>
      <c r="H59" s="6">
        <v>5</v>
      </c>
      <c r="I59" s="6">
        <v>18</v>
      </c>
      <c r="J59" s="6">
        <v>24</v>
      </c>
      <c r="L59" s="6">
        <v>1</v>
      </c>
      <c r="M59" s="6">
        <v>1</v>
      </c>
      <c r="N59" s="6">
        <v>6</v>
      </c>
      <c r="O59" s="6">
        <v>16</v>
      </c>
      <c r="Q59" s="6">
        <v>1</v>
      </c>
      <c r="R59" s="6">
        <v>1</v>
      </c>
      <c r="S59" s="6">
        <v>7</v>
      </c>
      <c r="T59" s="6">
        <v>16</v>
      </c>
    </row>
    <row r="60" spans="2:20">
      <c r="B60">
        <v>2</v>
      </c>
      <c r="C60">
        <v>9</v>
      </c>
      <c r="D60" s="6">
        <v>20</v>
      </c>
      <c r="E60" s="6">
        <v>22</v>
      </c>
      <c r="G60">
        <v>1</v>
      </c>
      <c r="H60">
        <v>5</v>
      </c>
      <c r="I60" s="6">
        <v>17</v>
      </c>
      <c r="J60" s="6">
        <v>21</v>
      </c>
      <c r="L60">
        <v>1</v>
      </c>
      <c r="M60">
        <v>1</v>
      </c>
      <c r="N60" s="6">
        <v>10</v>
      </c>
      <c r="O60" s="6">
        <v>21</v>
      </c>
      <c r="Q60">
        <v>1</v>
      </c>
      <c r="R60">
        <v>0</v>
      </c>
      <c r="S60" s="6">
        <v>7</v>
      </c>
      <c r="T60" s="6">
        <v>14</v>
      </c>
    </row>
    <row r="61" spans="2:20">
      <c r="B61">
        <v>2</v>
      </c>
      <c r="C61">
        <v>9</v>
      </c>
      <c r="D61" s="6">
        <v>6</v>
      </c>
      <c r="E61" s="6">
        <v>30</v>
      </c>
      <c r="G61">
        <v>1</v>
      </c>
      <c r="H61">
        <v>8</v>
      </c>
      <c r="I61" s="6">
        <v>6</v>
      </c>
      <c r="J61" s="6">
        <v>26</v>
      </c>
      <c r="L61">
        <v>1</v>
      </c>
      <c r="M61">
        <v>3</v>
      </c>
      <c r="N61" s="6">
        <v>4</v>
      </c>
      <c r="O61" s="6">
        <v>23</v>
      </c>
      <c r="Q61">
        <v>1</v>
      </c>
      <c r="R61">
        <v>2</v>
      </c>
      <c r="S61" s="6">
        <v>2</v>
      </c>
      <c r="T61" s="6">
        <v>19</v>
      </c>
    </row>
  </sheetData>
  <mergeCells count="9">
    <mergeCell ref="A1:B1"/>
    <mergeCell ref="C2:F2"/>
    <mergeCell ref="G2:J2"/>
    <mergeCell ref="K2:N2"/>
    <mergeCell ref="O2:R2"/>
    <mergeCell ref="B32:E32"/>
    <mergeCell ref="G32:J32"/>
    <mergeCell ref="L32:O32"/>
    <mergeCell ref="Q32:T32"/>
  </mergeCells>
  <conditionalFormatting sqref="B34:B61">
    <cfRule type="colorScale" priority="16">
      <colorScale>
        <cfvo type="min"/>
        <cfvo type="max"/>
        <color rgb="FFFCFCFF"/>
        <color rgb="FFF8696B"/>
      </colorScale>
    </cfRule>
  </conditionalFormatting>
  <conditionalFormatting sqref="C34:C61">
    <cfRule type="colorScale" priority="15">
      <colorScale>
        <cfvo type="min"/>
        <cfvo type="max"/>
        <color rgb="FFFCFCFF"/>
        <color rgb="FFF8696B"/>
      </colorScale>
    </cfRule>
  </conditionalFormatting>
  <conditionalFormatting sqref="D34:D61">
    <cfRule type="colorScale" priority="14">
      <colorScale>
        <cfvo type="min"/>
        <cfvo type="max"/>
        <color rgb="FFFCFCFF"/>
        <color rgb="FFF8696B"/>
      </colorScale>
    </cfRule>
  </conditionalFormatting>
  <conditionalFormatting sqref="E34:E61">
    <cfRule type="colorScale" priority="13">
      <colorScale>
        <cfvo type="min"/>
        <cfvo type="max"/>
        <color rgb="FFFCFCFF"/>
        <color rgb="FFF8696B"/>
      </colorScale>
    </cfRule>
  </conditionalFormatting>
  <conditionalFormatting sqref="G34:G61">
    <cfRule type="colorScale" priority="12">
      <colorScale>
        <cfvo type="min"/>
        <cfvo type="max"/>
        <color rgb="FFFCFCFF"/>
        <color rgb="FFF8696B"/>
      </colorScale>
    </cfRule>
  </conditionalFormatting>
  <conditionalFormatting sqref="H34:H61">
    <cfRule type="colorScale" priority="11">
      <colorScale>
        <cfvo type="min"/>
        <cfvo type="max"/>
        <color rgb="FFFCFCFF"/>
        <color rgb="FFF8696B"/>
      </colorScale>
    </cfRule>
  </conditionalFormatting>
  <conditionalFormatting sqref="I34:I61">
    <cfRule type="colorScale" priority="10">
      <colorScale>
        <cfvo type="min"/>
        <cfvo type="max"/>
        <color rgb="FFFCFCFF"/>
        <color rgb="FFF8696B"/>
      </colorScale>
    </cfRule>
  </conditionalFormatting>
  <conditionalFormatting sqref="J34:J61">
    <cfRule type="colorScale" priority="9">
      <colorScale>
        <cfvo type="min"/>
        <cfvo type="max"/>
        <color rgb="FFFCFCFF"/>
        <color rgb="FFF8696B"/>
      </colorScale>
    </cfRule>
  </conditionalFormatting>
  <conditionalFormatting sqref="L34:L61">
    <cfRule type="colorScale" priority="8">
      <colorScale>
        <cfvo type="min"/>
        <cfvo type="max"/>
        <color rgb="FFFCFCFF"/>
        <color rgb="FFF8696B"/>
      </colorScale>
    </cfRule>
  </conditionalFormatting>
  <conditionalFormatting sqref="M34:M61">
    <cfRule type="colorScale" priority="7">
      <colorScale>
        <cfvo type="min"/>
        <cfvo type="max"/>
        <color rgb="FFFCFCFF"/>
        <color rgb="FFF8696B"/>
      </colorScale>
    </cfRule>
  </conditionalFormatting>
  <conditionalFormatting sqref="N34:N61">
    <cfRule type="colorScale" priority="6">
      <colorScale>
        <cfvo type="min"/>
        <cfvo type="max"/>
        <color rgb="FFFCFCFF"/>
        <color rgb="FFF8696B"/>
      </colorScale>
    </cfRule>
  </conditionalFormatting>
  <conditionalFormatting sqref="O34:O61">
    <cfRule type="colorScale" priority="5">
      <colorScale>
        <cfvo type="min"/>
        <cfvo type="max"/>
        <color rgb="FFFCFCFF"/>
        <color rgb="FFF8696B"/>
      </colorScale>
    </cfRule>
  </conditionalFormatting>
  <conditionalFormatting sqref="Q34:Q61">
    <cfRule type="colorScale" priority="4">
      <colorScale>
        <cfvo type="min"/>
        <cfvo type="max"/>
        <color rgb="FFFCFCFF"/>
        <color rgb="FFF8696B"/>
      </colorScale>
    </cfRule>
  </conditionalFormatting>
  <conditionalFormatting sqref="R34:R61">
    <cfRule type="colorScale" priority="3">
      <colorScale>
        <cfvo type="min"/>
        <cfvo type="max"/>
        <color rgb="FFFCFCFF"/>
        <color rgb="FFF8696B"/>
      </colorScale>
    </cfRule>
  </conditionalFormatting>
  <conditionalFormatting sqref="S34:S61">
    <cfRule type="colorScale" priority="2">
      <colorScale>
        <cfvo type="min"/>
        <cfvo type="max"/>
        <color rgb="FFFCFCFF"/>
        <color rgb="FFF8696B"/>
      </colorScale>
    </cfRule>
  </conditionalFormatting>
  <conditionalFormatting sqref="T34:T61">
    <cfRule type="colorScale" priority="1">
      <colorScale>
        <cfvo type="min"/>
        <cfvo type="max"/>
        <color rgb="FFFCFCFF"/>
        <color rgb="FFF8696B"/>
      </colorScale>
    </cfRule>
  </conditionalFormatting>
  <conditionalFormatting sqref="C4:R31">
    <cfRule type="colorScale" priority="18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1"/>
  <sheetViews>
    <sheetView zoomScale="85" zoomScaleNormal="85" workbookViewId="0">
      <pane xSplit="1" topLeftCell="B1" activePane="topRight" state="frozen"/>
      <selection/>
      <selection pane="topRight" activeCell="B17" sqref="B17"/>
    </sheetView>
  </sheetViews>
  <sheetFormatPr defaultColWidth="9" defaultRowHeight="13.8"/>
  <cols>
    <col min="2" max="2" width="10.1111111111111" style="2" customWidth="1"/>
    <col min="4" max="9" width="12.8888888888889"/>
    <col min="11" max="19" width="12.8888888888889"/>
    <col min="20" max="20" width="15.6666666666667" customWidth="1"/>
    <col min="24" max="25" width="12.8888888888889"/>
    <col min="27" max="29" width="12.8888888888889"/>
  </cols>
  <sheetData>
    <row r="1" ht="39" customHeight="1" spans="1:29">
      <c r="A1" s="2" t="s">
        <v>35</v>
      </c>
      <c r="C1" s="2"/>
      <c r="E1" t="s">
        <v>36</v>
      </c>
      <c r="G1" s="2"/>
      <c r="H1" s="2"/>
    </row>
    <row r="2" spans="1:29">
      <c r="A2" t="s">
        <v>1</v>
      </c>
      <c r="B2" s="2" t="s">
        <v>2</v>
      </c>
      <c r="C2" s="22">
        <v>-17</v>
      </c>
      <c r="D2" s="22"/>
      <c r="E2" s="22"/>
      <c r="F2" s="22"/>
      <c r="G2" s="22">
        <v>-20</v>
      </c>
      <c r="H2" s="22"/>
      <c r="I2" s="22"/>
      <c r="J2" s="22"/>
      <c r="K2" s="22">
        <v>-23</v>
      </c>
      <c r="L2" s="22"/>
      <c r="M2" s="22"/>
      <c r="N2" s="22"/>
      <c r="O2" s="22">
        <v>-26</v>
      </c>
      <c r="P2" s="22"/>
      <c r="Q2" s="22"/>
      <c r="R2" s="22"/>
      <c r="T2" t="s">
        <v>3</v>
      </c>
    </row>
    <row r="3" spans="1:29">
      <c r="C3" s="3">
        <v>0.95</v>
      </c>
      <c r="D3" s="3">
        <v>0.97</v>
      </c>
      <c r="E3" s="3">
        <v>0.99</v>
      </c>
      <c r="F3" s="3">
        <v>1.01</v>
      </c>
      <c r="G3" s="3">
        <v>0.95</v>
      </c>
      <c r="H3" s="3">
        <v>0.97</v>
      </c>
      <c r="I3" s="3">
        <v>0.99</v>
      </c>
      <c r="J3" s="3">
        <v>1.01</v>
      </c>
      <c r="K3" s="3">
        <v>0.95</v>
      </c>
      <c r="L3" s="3">
        <v>0.97</v>
      </c>
      <c r="M3" s="3">
        <v>0.99</v>
      </c>
      <c r="N3" s="3">
        <v>1.01</v>
      </c>
      <c r="O3" s="3">
        <v>0.95</v>
      </c>
      <c r="P3" s="3">
        <v>0.97</v>
      </c>
      <c r="Q3" s="3">
        <v>0.99</v>
      </c>
      <c r="R3" s="3">
        <v>1.01</v>
      </c>
      <c r="S3" t="s">
        <v>37</v>
      </c>
      <c r="U3" t="s">
        <v>38</v>
      </c>
      <c r="V3" s="4" t="s">
        <v>39</v>
      </c>
    </row>
    <row r="4" spans="1:29">
      <c r="A4" t="s">
        <v>4</v>
      </c>
      <c r="B4" s="9">
        <v>44661</v>
      </c>
      <c r="C4" s="6">
        <v>0.2</v>
      </c>
      <c r="D4" s="6">
        <v>0.2</v>
      </c>
      <c r="E4" s="6">
        <v>0.1</v>
      </c>
      <c r="F4" s="6">
        <v>0.2</v>
      </c>
      <c r="G4" s="6">
        <v>0.2</v>
      </c>
      <c r="H4" s="6">
        <v>0.2</v>
      </c>
      <c r="I4" s="6">
        <v>0.4</v>
      </c>
      <c r="J4" s="6">
        <v>0.4</v>
      </c>
      <c r="K4" s="6">
        <v>0.2</v>
      </c>
      <c r="L4" s="6">
        <v>0.2</v>
      </c>
      <c r="M4" s="6">
        <v>0.4</v>
      </c>
      <c r="N4" s="6">
        <v>1.3</v>
      </c>
      <c r="O4" s="6">
        <v>1.5</v>
      </c>
      <c r="P4" s="6">
        <v>1.8</v>
      </c>
      <c r="Q4" s="6">
        <v>1.9</v>
      </c>
      <c r="R4" s="6">
        <v>2</v>
      </c>
      <c r="S4" s="23">
        <f>AVERAGE(C4:R4)</f>
        <v>0.7</v>
      </c>
      <c r="T4" s="24">
        <v>4.41</v>
      </c>
      <c r="U4">
        <v>35.9815</v>
      </c>
      <c r="V4" s="11" t="s">
        <v>40</v>
      </c>
      <c r="Z4" t="s">
        <v>41</v>
      </c>
      <c r="AA4" t="s">
        <v>42</v>
      </c>
      <c r="AB4" t="s">
        <v>43</v>
      </c>
      <c r="AC4" t="s">
        <v>44</v>
      </c>
    </row>
    <row r="5" spans="1:29">
      <c r="A5" t="s">
        <v>5</v>
      </c>
      <c r="B5" s="9">
        <v>44662</v>
      </c>
      <c r="C5" s="6">
        <v>0.1</v>
      </c>
      <c r="D5" s="6">
        <v>0.7</v>
      </c>
      <c r="E5" s="6">
        <v>1</v>
      </c>
      <c r="F5" s="6">
        <v>1</v>
      </c>
      <c r="G5" s="6">
        <v>0.7</v>
      </c>
      <c r="H5" s="6">
        <v>0.9</v>
      </c>
      <c r="I5" s="6">
        <v>1.1</v>
      </c>
      <c r="J5" s="6">
        <v>1.4</v>
      </c>
      <c r="K5" s="6">
        <v>1.3</v>
      </c>
      <c r="L5" s="6">
        <v>1.4</v>
      </c>
      <c r="M5" s="6">
        <v>1.6</v>
      </c>
      <c r="N5" s="6">
        <v>1.4</v>
      </c>
      <c r="O5" s="6">
        <v>2.8</v>
      </c>
      <c r="P5" s="6">
        <v>3</v>
      </c>
      <c r="Q5" s="6">
        <v>3.4</v>
      </c>
      <c r="R5" s="6">
        <v>3.8</v>
      </c>
      <c r="S5" s="23">
        <f t="shared" ref="S5:S34" si="0">AVERAGE(C5:R5)</f>
        <v>1.6</v>
      </c>
      <c r="T5" s="24">
        <v>0.36</v>
      </c>
      <c r="U5">
        <v>31.7067</v>
      </c>
      <c r="V5" s="11" t="s">
        <v>45</v>
      </c>
      <c r="Y5">
        <v>35.9815</v>
      </c>
      <c r="Z5" s="7" t="s">
        <v>46</v>
      </c>
      <c r="AA5" s="23">
        <f>AVERAGE(C4:R4)</f>
        <v>0.7</v>
      </c>
      <c r="AB5">
        <f>AVERAGE(AA5:AA13)</f>
        <v>0.757638888888889</v>
      </c>
      <c r="AC5">
        <f>STDEV(AA5:AA13)</f>
        <v>0.486946578677899</v>
      </c>
    </row>
    <row r="6" spans="1:29">
      <c r="A6" t="s">
        <v>6</v>
      </c>
      <c r="B6" s="9">
        <v>44662</v>
      </c>
      <c r="C6" s="6">
        <v>0</v>
      </c>
      <c r="D6" s="6">
        <v>0</v>
      </c>
      <c r="E6" s="6">
        <v>0.2</v>
      </c>
      <c r="F6" s="6">
        <v>0.2</v>
      </c>
      <c r="G6" s="6">
        <v>0.9</v>
      </c>
      <c r="H6" s="6">
        <v>0.4</v>
      </c>
      <c r="I6" s="6">
        <v>0.6</v>
      </c>
      <c r="J6" s="6">
        <v>1.2</v>
      </c>
      <c r="K6" s="6">
        <v>0.4</v>
      </c>
      <c r="L6" s="6">
        <v>0.7</v>
      </c>
      <c r="M6" s="6">
        <v>0.7</v>
      </c>
      <c r="N6" s="6">
        <v>0.7</v>
      </c>
      <c r="O6" s="6">
        <v>2.2</v>
      </c>
      <c r="P6" s="6">
        <v>2.4</v>
      </c>
      <c r="Q6" s="6">
        <v>2.4</v>
      </c>
      <c r="R6" s="6">
        <v>2.3</v>
      </c>
      <c r="S6" s="23">
        <f t="shared" si="0"/>
        <v>0.95625</v>
      </c>
      <c r="T6" s="24">
        <v>3.33</v>
      </c>
      <c r="U6">
        <v>31.9983</v>
      </c>
      <c r="V6" s="14" t="s">
        <v>47</v>
      </c>
      <c r="Y6">
        <v>31.7067</v>
      </c>
      <c r="Z6" s="12" t="s">
        <v>48</v>
      </c>
      <c r="AA6" s="23">
        <f>AVERAGE(C5:R5)</f>
        <v>1.6</v>
      </c>
    </row>
    <row r="7" spans="1:29">
      <c r="A7" t="s">
        <v>7</v>
      </c>
      <c r="B7" s="9">
        <v>44663</v>
      </c>
      <c r="C7" s="6">
        <v>0.1</v>
      </c>
      <c r="D7" s="6">
        <v>0.1</v>
      </c>
      <c r="E7" s="6">
        <v>0.1</v>
      </c>
      <c r="F7" s="6">
        <v>0.1</v>
      </c>
      <c r="G7" s="6">
        <v>0.5</v>
      </c>
      <c r="H7" s="6">
        <v>0.6</v>
      </c>
      <c r="I7" s="6">
        <v>0.4</v>
      </c>
      <c r="J7" s="6">
        <v>0.8</v>
      </c>
      <c r="K7" s="6">
        <v>0.4</v>
      </c>
      <c r="L7" s="6">
        <v>0.5</v>
      </c>
      <c r="M7" s="6">
        <v>0.7</v>
      </c>
      <c r="N7" s="6">
        <v>0.8</v>
      </c>
      <c r="O7" s="6">
        <v>2</v>
      </c>
      <c r="P7" s="6">
        <v>2.2</v>
      </c>
      <c r="Q7" s="6">
        <v>2.4</v>
      </c>
      <c r="R7" s="6">
        <v>2.5</v>
      </c>
      <c r="S7" s="23">
        <f t="shared" si="0"/>
        <v>0.8875</v>
      </c>
      <c r="T7" s="24">
        <v>12.01</v>
      </c>
      <c r="U7">
        <v>31.3767</v>
      </c>
      <c r="V7" s="11" t="s">
        <v>49</v>
      </c>
      <c r="Y7">
        <v>31.9983</v>
      </c>
      <c r="Z7" s="12" t="s">
        <v>50</v>
      </c>
      <c r="AA7" s="23">
        <f>AVERAGE(C6:R6)</f>
        <v>0.95625</v>
      </c>
    </row>
    <row r="8" spans="1:29">
      <c r="A8" t="s">
        <v>8</v>
      </c>
      <c r="B8" s="9">
        <v>44663</v>
      </c>
      <c r="C8" s="6">
        <v>0</v>
      </c>
      <c r="D8" s="6">
        <v>0</v>
      </c>
      <c r="E8" s="6">
        <v>0.1</v>
      </c>
      <c r="F8" s="6">
        <v>0.2</v>
      </c>
      <c r="G8" s="6">
        <v>0.1</v>
      </c>
      <c r="H8" s="6">
        <v>0.1</v>
      </c>
      <c r="I8" s="6">
        <v>0.1</v>
      </c>
      <c r="J8" s="6">
        <v>0.3</v>
      </c>
      <c r="K8" s="6">
        <v>0.1</v>
      </c>
      <c r="L8" s="6">
        <v>0.2</v>
      </c>
      <c r="M8" s="6">
        <v>0.2</v>
      </c>
      <c r="N8" s="6">
        <v>0.4</v>
      </c>
      <c r="O8" s="6">
        <v>2.3</v>
      </c>
      <c r="P8" s="6">
        <v>2.7</v>
      </c>
      <c r="Q8" s="6">
        <v>3.1</v>
      </c>
      <c r="R8" s="6">
        <v>3.3</v>
      </c>
      <c r="S8" s="23">
        <f t="shared" si="0"/>
        <v>0.825</v>
      </c>
      <c r="T8" s="24">
        <v>5.16</v>
      </c>
      <c r="U8">
        <v>30.4033</v>
      </c>
      <c r="V8" s="14" t="s">
        <v>51</v>
      </c>
      <c r="Y8">
        <v>31.3767</v>
      </c>
      <c r="Z8" s="12" t="s">
        <v>52</v>
      </c>
      <c r="AA8" s="23">
        <f>AVERAGE(C7:R7)</f>
        <v>0.8875</v>
      </c>
    </row>
    <row r="9" spans="1:29">
      <c r="A9" t="s">
        <v>9</v>
      </c>
      <c r="B9" s="9">
        <v>44664</v>
      </c>
      <c r="C9" s="6">
        <v>0</v>
      </c>
      <c r="D9" s="6">
        <v>0.1</v>
      </c>
      <c r="E9" s="6">
        <v>0.1</v>
      </c>
      <c r="F9" s="6">
        <v>0.2</v>
      </c>
      <c r="G9" s="6">
        <v>0.1</v>
      </c>
      <c r="H9" s="6">
        <v>0.2</v>
      </c>
      <c r="I9" s="6">
        <v>0.4</v>
      </c>
      <c r="J9" s="6">
        <v>0.4</v>
      </c>
      <c r="K9" s="6">
        <v>0.2</v>
      </c>
      <c r="L9" s="6">
        <v>0.2</v>
      </c>
      <c r="M9" s="6">
        <v>0.3</v>
      </c>
      <c r="N9" s="6">
        <v>0.3</v>
      </c>
      <c r="O9" s="6">
        <v>0.5</v>
      </c>
      <c r="P9" s="6">
        <v>0.7</v>
      </c>
      <c r="Q9" s="6">
        <v>0.8</v>
      </c>
      <c r="R9" s="6">
        <v>0.9</v>
      </c>
      <c r="S9" s="23">
        <f t="shared" si="0"/>
        <v>0.3375</v>
      </c>
      <c r="T9" s="24">
        <v>19.07</v>
      </c>
      <c r="U9">
        <v>30</v>
      </c>
      <c r="V9" s="11" t="s">
        <v>53</v>
      </c>
      <c r="Y9">
        <v>33.505</v>
      </c>
      <c r="Z9" s="12" t="s">
        <v>54</v>
      </c>
      <c r="AA9" s="23">
        <f>AVERAGE(C25:R25)</f>
        <v>0.0625</v>
      </c>
    </row>
    <row r="10" spans="1:29">
      <c r="A10" s="24" t="s">
        <v>10</v>
      </c>
      <c r="B10" s="9">
        <v>44665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0.1</v>
      </c>
      <c r="J10" s="6">
        <v>0.3</v>
      </c>
      <c r="K10" s="6">
        <v>0.1</v>
      </c>
      <c r="L10" s="6">
        <v>0.2</v>
      </c>
      <c r="M10" s="6">
        <v>0.2</v>
      </c>
      <c r="N10" s="6">
        <v>0.4</v>
      </c>
      <c r="O10" s="6">
        <v>0.4</v>
      </c>
      <c r="P10" s="6">
        <v>0.5</v>
      </c>
      <c r="Q10" s="6">
        <v>0.6</v>
      </c>
      <c r="R10" s="6">
        <v>0.6</v>
      </c>
      <c r="S10" s="23">
        <f t="shared" si="0"/>
        <v>0.2125</v>
      </c>
      <c r="T10" s="24">
        <v>11.52</v>
      </c>
      <c r="U10">
        <v>29.9933</v>
      </c>
      <c r="V10" s="11" t="s">
        <v>55</v>
      </c>
      <c r="Y10">
        <v>35.49</v>
      </c>
      <c r="Z10" s="12" t="s">
        <v>56</v>
      </c>
      <c r="AA10" s="23">
        <f>AVERAGE(C26:R26)</f>
        <v>0.5125</v>
      </c>
    </row>
    <row r="11" spans="1:29">
      <c r="A11" t="s">
        <v>11</v>
      </c>
      <c r="B11" s="9">
        <v>44666</v>
      </c>
      <c r="C11" s="6">
        <v>0</v>
      </c>
      <c r="D11" s="6">
        <v>0.1</v>
      </c>
      <c r="E11" s="6">
        <v>0.4</v>
      </c>
      <c r="F11" s="6">
        <v>0.2</v>
      </c>
      <c r="G11" s="6">
        <v>0.3</v>
      </c>
      <c r="H11" s="6">
        <v>0.3</v>
      </c>
      <c r="I11" s="6">
        <v>0.6</v>
      </c>
      <c r="J11" s="6">
        <v>1.3</v>
      </c>
      <c r="K11" s="6">
        <v>0.9</v>
      </c>
      <c r="L11" s="6">
        <v>1.1</v>
      </c>
      <c r="M11" s="6">
        <v>1.2</v>
      </c>
      <c r="N11" s="6">
        <v>1.4</v>
      </c>
      <c r="O11" s="6">
        <v>1.8</v>
      </c>
      <c r="P11" s="6">
        <v>1.8</v>
      </c>
      <c r="Q11" s="6">
        <v>1.8</v>
      </c>
      <c r="R11" s="6">
        <v>2</v>
      </c>
      <c r="S11" s="23">
        <f t="shared" si="0"/>
        <v>0.95</v>
      </c>
      <c r="T11" s="24">
        <v>6.55</v>
      </c>
      <c r="U11">
        <v>30.5067</v>
      </c>
      <c r="V11" s="11" t="s">
        <v>57</v>
      </c>
      <c r="Y11">
        <v>35.89</v>
      </c>
      <c r="Z11" s="12" t="s">
        <v>58</v>
      </c>
      <c r="AA11" s="23">
        <f>AVERAGE(C27:R27)</f>
        <v>0.08125</v>
      </c>
    </row>
    <row r="12" spans="1:29">
      <c r="A12" t="s">
        <v>12</v>
      </c>
      <c r="B12" s="9">
        <v>44666</v>
      </c>
      <c r="C12" s="6">
        <v>0</v>
      </c>
      <c r="D12" s="6">
        <v>0</v>
      </c>
      <c r="E12" s="6">
        <v>0</v>
      </c>
      <c r="F12" s="6">
        <v>0</v>
      </c>
      <c r="G12" s="6">
        <v>0.1</v>
      </c>
      <c r="H12" s="6">
        <v>0.2</v>
      </c>
      <c r="I12" s="6">
        <v>0.3</v>
      </c>
      <c r="J12" s="6">
        <v>0.2</v>
      </c>
      <c r="K12" s="6">
        <v>0.4</v>
      </c>
      <c r="L12" s="6">
        <v>0.5</v>
      </c>
      <c r="M12" s="6">
        <v>0.6</v>
      </c>
      <c r="N12" s="6">
        <v>0.6</v>
      </c>
      <c r="O12" s="6">
        <v>1</v>
      </c>
      <c r="P12" s="6">
        <v>1.1</v>
      </c>
      <c r="Q12" s="6">
        <v>1.1</v>
      </c>
      <c r="R12" s="6">
        <v>1.5</v>
      </c>
      <c r="S12" s="23">
        <f t="shared" si="0"/>
        <v>0.475</v>
      </c>
      <c r="T12" s="24">
        <v>16.04</v>
      </c>
      <c r="U12">
        <v>30.505</v>
      </c>
      <c r="V12" s="11" t="s">
        <v>59</v>
      </c>
      <c r="Y12">
        <v>36.2808</v>
      </c>
      <c r="Z12" s="12" t="s">
        <v>60</v>
      </c>
      <c r="AA12" s="23">
        <f>AVERAGE(C28:R28)</f>
        <v>1.01875</v>
      </c>
    </row>
    <row r="13" spans="1:29">
      <c r="A13" t="s">
        <v>13</v>
      </c>
      <c r="B13" s="9">
        <v>44667</v>
      </c>
      <c r="C13" s="6">
        <v>0</v>
      </c>
      <c r="D13" s="6">
        <v>0</v>
      </c>
      <c r="E13" s="6">
        <v>0.1</v>
      </c>
      <c r="F13" s="6">
        <v>0.1</v>
      </c>
      <c r="G13" s="6">
        <v>0.1</v>
      </c>
      <c r="H13" s="6">
        <v>0.1</v>
      </c>
      <c r="I13" s="6">
        <v>0.1</v>
      </c>
      <c r="J13" s="6">
        <v>0.1</v>
      </c>
      <c r="K13" s="6">
        <v>0.1</v>
      </c>
      <c r="L13" s="6">
        <v>0.4</v>
      </c>
      <c r="M13" s="6">
        <v>0.5</v>
      </c>
      <c r="N13" s="6">
        <v>0.4</v>
      </c>
      <c r="O13" s="6">
        <v>0.6</v>
      </c>
      <c r="P13" s="6">
        <v>0.6</v>
      </c>
      <c r="Q13" s="6">
        <v>1</v>
      </c>
      <c r="R13" s="6">
        <v>1.2</v>
      </c>
      <c r="S13" s="23">
        <f t="shared" si="0"/>
        <v>0.3375</v>
      </c>
      <c r="T13" s="24">
        <v>11.23</v>
      </c>
      <c r="U13">
        <v>30.3417</v>
      </c>
      <c r="V13" s="14" t="s">
        <v>61</v>
      </c>
      <c r="Y13">
        <v>36.315</v>
      </c>
      <c r="Z13" s="12" t="s">
        <v>62</v>
      </c>
      <c r="AA13" s="23">
        <f>AVERAGE(C29:R29)</f>
        <v>1</v>
      </c>
    </row>
    <row r="14" spans="1:29">
      <c r="A14" t="s">
        <v>15</v>
      </c>
      <c r="B14" s="9">
        <v>44667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0.2</v>
      </c>
      <c r="Q14">
        <v>0.3</v>
      </c>
      <c r="R14">
        <v>0.3</v>
      </c>
      <c r="S14" s="23">
        <f t="shared" si="0"/>
        <v>0.09375</v>
      </c>
      <c r="T14" s="24">
        <v>10.73</v>
      </c>
      <c r="U14">
        <v>29.4717</v>
      </c>
      <c r="V14" s="11" t="s">
        <v>63</v>
      </c>
      <c r="Z14" t="s">
        <v>64</v>
      </c>
    </row>
    <row r="15" spans="1:29">
      <c r="A15" t="s">
        <v>16</v>
      </c>
      <c r="B15" s="9">
        <v>44668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0.2</v>
      </c>
      <c r="M15" s="6">
        <v>0.3</v>
      </c>
      <c r="N15" s="6">
        <v>0.4</v>
      </c>
      <c r="O15" s="6">
        <v>0.2</v>
      </c>
      <c r="P15" s="6">
        <v>0.4</v>
      </c>
      <c r="Q15" s="6">
        <v>0.5</v>
      </c>
      <c r="R15" s="6">
        <v>0.7</v>
      </c>
      <c r="S15" s="23">
        <f t="shared" si="0"/>
        <v>0.16875</v>
      </c>
      <c r="T15" s="24">
        <v>7.22</v>
      </c>
      <c r="U15">
        <v>28.7367</v>
      </c>
      <c r="V15" s="11" t="s">
        <v>65</v>
      </c>
      <c r="Y15">
        <v>30.4033</v>
      </c>
      <c r="Z15" s="12" t="s">
        <v>66</v>
      </c>
      <c r="AA15" s="23">
        <f>AVERAGE(C8:R8)</f>
        <v>0.825</v>
      </c>
      <c r="AB15">
        <f>AVERAGE(AA15:AA31)</f>
        <v>0.383823529411765</v>
      </c>
      <c r="AC15">
        <f>STDEV(AA15:AA31)</f>
        <v>0.245765493609792</v>
      </c>
    </row>
    <row r="16" spans="1:29">
      <c r="A16" t="s">
        <v>17</v>
      </c>
      <c r="B16" s="9">
        <v>44668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0.2</v>
      </c>
      <c r="M16" s="6">
        <v>0.2</v>
      </c>
      <c r="N16" s="6">
        <v>0.4</v>
      </c>
      <c r="O16" s="6">
        <v>1</v>
      </c>
      <c r="P16" s="6">
        <v>1.1</v>
      </c>
      <c r="Q16" s="6">
        <v>1.1</v>
      </c>
      <c r="R16" s="6">
        <v>1.2</v>
      </c>
      <c r="S16" s="23">
        <f t="shared" si="0"/>
        <v>0.325</v>
      </c>
      <c r="T16" s="24">
        <v>8.02</v>
      </c>
      <c r="U16">
        <v>29.8783</v>
      </c>
      <c r="V16" s="11" t="s">
        <v>67</v>
      </c>
      <c r="Y16">
        <v>30</v>
      </c>
      <c r="Z16" s="15" t="s">
        <v>68</v>
      </c>
      <c r="AA16" s="23">
        <f t="shared" ref="AA16:AA31" si="1">AVERAGE(C9:R9)</f>
        <v>0.3375</v>
      </c>
    </row>
    <row r="17" spans="1:27">
      <c r="A17" s="24" t="s">
        <v>18</v>
      </c>
      <c r="B17" s="9">
        <v>44669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0.1</v>
      </c>
      <c r="M17" s="6">
        <v>0.1</v>
      </c>
      <c r="N17" s="6">
        <v>0.1</v>
      </c>
      <c r="O17" s="6">
        <v>1</v>
      </c>
      <c r="P17" s="6">
        <v>1.9</v>
      </c>
      <c r="Q17" s="6">
        <v>2.2</v>
      </c>
      <c r="R17" s="6">
        <v>2.8</v>
      </c>
      <c r="S17" s="23">
        <f t="shared" si="0"/>
        <v>0.5125</v>
      </c>
      <c r="T17" s="24">
        <v>9.72</v>
      </c>
      <c r="U17">
        <v>28.4833</v>
      </c>
      <c r="V17" s="11" t="s">
        <v>69</v>
      </c>
      <c r="Y17">
        <v>29.9933</v>
      </c>
      <c r="Z17" s="7" t="s">
        <v>70</v>
      </c>
      <c r="AA17" s="23">
        <f t="shared" si="1"/>
        <v>0.2125</v>
      </c>
    </row>
    <row r="18" spans="1:27">
      <c r="A18" t="s">
        <v>19</v>
      </c>
      <c r="B18" s="9">
        <v>44669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0.1</v>
      </c>
      <c r="L18" s="6">
        <v>0.4</v>
      </c>
      <c r="M18" s="6">
        <v>0.5</v>
      </c>
      <c r="N18" s="6">
        <v>0.6</v>
      </c>
      <c r="O18" s="6">
        <v>0.8</v>
      </c>
      <c r="P18" s="6">
        <v>1.1</v>
      </c>
      <c r="Q18" s="6">
        <v>1.3</v>
      </c>
      <c r="R18" s="6">
        <v>1.6</v>
      </c>
      <c r="S18" s="23">
        <f t="shared" si="0"/>
        <v>0.4</v>
      </c>
      <c r="T18" s="24">
        <v>7.03</v>
      </c>
      <c r="U18">
        <v>27.4633</v>
      </c>
      <c r="V18" s="11" t="s">
        <v>71</v>
      </c>
      <c r="Y18">
        <v>30.5067</v>
      </c>
      <c r="Z18" s="12" t="s">
        <v>72</v>
      </c>
      <c r="AA18" s="23">
        <f t="shared" si="1"/>
        <v>0.95</v>
      </c>
    </row>
    <row r="19" spans="1:27">
      <c r="A19" t="s">
        <v>20</v>
      </c>
      <c r="B19" s="9">
        <v>44670</v>
      </c>
      <c r="C19" s="6">
        <v>0</v>
      </c>
      <c r="D19" s="6">
        <v>0</v>
      </c>
      <c r="E19" s="6">
        <v>0.1</v>
      </c>
      <c r="F19" s="6">
        <v>0.1</v>
      </c>
      <c r="G19" s="6">
        <v>0.2</v>
      </c>
      <c r="H19" s="6">
        <v>0.2</v>
      </c>
      <c r="I19" s="6">
        <v>0.3</v>
      </c>
      <c r="J19" s="6">
        <v>0.5</v>
      </c>
      <c r="K19" s="6">
        <v>0.6</v>
      </c>
      <c r="L19" s="6">
        <v>0.5</v>
      </c>
      <c r="M19" s="6">
        <v>0.6</v>
      </c>
      <c r="N19" s="6">
        <v>0.6</v>
      </c>
      <c r="O19" s="6">
        <v>1.1</v>
      </c>
      <c r="P19" s="6">
        <v>1.5</v>
      </c>
      <c r="Q19" s="6">
        <v>1.6</v>
      </c>
      <c r="R19" s="6">
        <v>1.7</v>
      </c>
      <c r="S19" s="23">
        <f t="shared" si="0"/>
        <v>0.6</v>
      </c>
      <c r="T19" s="24">
        <v>7.36</v>
      </c>
      <c r="U19">
        <v>26.6817</v>
      </c>
      <c r="V19" s="11" t="s">
        <v>73</v>
      </c>
      <c r="Y19">
        <v>30.505</v>
      </c>
      <c r="Z19" s="12" t="s">
        <v>74</v>
      </c>
      <c r="AA19" s="23">
        <f t="shared" si="1"/>
        <v>0.475</v>
      </c>
    </row>
    <row r="20" spans="1:27">
      <c r="A20" t="s">
        <v>21</v>
      </c>
      <c r="B20" s="9">
        <v>44670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6">
        <v>0.1</v>
      </c>
      <c r="L20" s="6">
        <v>0.1</v>
      </c>
      <c r="M20" s="6">
        <v>0.1</v>
      </c>
      <c r="N20" s="6">
        <v>0.3</v>
      </c>
      <c r="O20" s="6">
        <v>0.5</v>
      </c>
      <c r="P20" s="6">
        <v>0.8</v>
      </c>
      <c r="Q20" s="6">
        <v>1</v>
      </c>
      <c r="R20" s="6">
        <v>1.4</v>
      </c>
      <c r="S20" s="23">
        <f t="shared" si="0"/>
        <v>0.26875</v>
      </c>
      <c r="T20" s="24">
        <v>15.95</v>
      </c>
      <c r="U20">
        <v>25.865</v>
      </c>
      <c r="V20" s="11" t="s">
        <v>75</v>
      </c>
      <c r="Y20">
        <v>30.3417</v>
      </c>
      <c r="Z20" s="12" t="s">
        <v>76</v>
      </c>
      <c r="AA20" s="23">
        <f t="shared" si="1"/>
        <v>0.3375</v>
      </c>
    </row>
    <row r="21" spans="1:27">
      <c r="A21" t="s">
        <v>22</v>
      </c>
      <c r="B21" s="9">
        <v>44671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0.1</v>
      </c>
      <c r="O21">
        <v>0.1</v>
      </c>
      <c r="P21">
        <v>0.1</v>
      </c>
      <c r="Q21">
        <v>0.4</v>
      </c>
      <c r="R21">
        <v>0.5</v>
      </c>
      <c r="S21" s="23">
        <f t="shared" si="0"/>
        <v>0.075</v>
      </c>
      <c r="T21" s="24">
        <v>14.26</v>
      </c>
      <c r="U21">
        <v>27.7983</v>
      </c>
      <c r="V21" s="11" t="s">
        <v>77</v>
      </c>
      <c r="Y21">
        <v>29.4717</v>
      </c>
      <c r="Z21" s="12" t="s">
        <v>78</v>
      </c>
      <c r="AA21" s="23">
        <f t="shared" si="1"/>
        <v>0.09375</v>
      </c>
    </row>
    <row r="22" spans="1:27">
      <c r="A22" t="s">
        <v>23</v>
      </c>
      <c r="B22" s="9">
        <v>44672</v>
      </c>
      <c r="C22" s="6">
        <v>0</v>
      </c>
      <c r="D22" s="6">
        <v>0</v>
      </c>
      <c r="E22" s="6">
        <v>0.1</v>
      </c>
      <c r="F22" s="6">
        <v>0.1</v>
      </c>
      <c r="G22" s="6">
        <v>0.1</v>
      </c>
      <c r="H22" s="6">
        <v>0.4</v>
      </c>
      <c r="I22" s="6">
        <v>0.6</v>
      </c>
      <c r="J22" s="6">
        <v>0.8</v>
      </c>
      <c r="K22" s="6">
        <v>0.3</v>
      </c>
      <c r="L22" s="6">
        <v>0.5</v>
      </c>
      <c r="M22" s="6">
        <v>0.5</v>
      </c>
      <c r="N22" s="6">
        <v>0.6</v>
      </c>
      <c r="O22" s="6">
        <v>0.7</v>
      </c>
      <c r="P22" s="6">
        <v>1</v>
      </c>
      <c r="Q22" s="6">
        <v>1.2</v>
      </c>
      <c r="R22" s="6">
        <v>2</v>
      </c>
      <c r="S22" s="23">
        <f t="shared" si="0"/>
        <v>0.55625</v>
      </c>
      <c r="T22" s="24">
        <v>8.51</v>
      </c>
      <c r="U22">
        <v>28</v>
      </c>
      <c r="V22" s="20" t="s">
        <v>79</v>
      </c>
      <c r="Y22">
        <v>28.7367</v>
      </c>
      <c r="Z22" s="12" t="s">
        <v>80</v>
      </c>
      <c r="AA22" s="23">
        <f t="shared" si="1"/>
        <v>0.16875</v>
      </c>
    </row>
    <row r="23" spans="1:27">
      <c r="A23" t="s">
        <v>24</v>
      </c>
      <c r="B23" s="9">
        <v>44672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0.2</v>
      </c>
      <c r="P23" s="6">
        <v>0.4</v>
      </c>
      <c r="Q23" s="6">
        <v>0.8</v>
      </c>
      <c r="R23" s="6">
        <v>1.3</v>
      </c>
      <c r="S23" s="23">
        <f t="shared" si="0"/>
        <v>0.16875</v>
      </c>
      <c r="T23" s="24">
        <v>26.9</v>
      </c>
      <c r="U23">
        <v>28.5333</v>
      </c>
      <c r="V23" s="11" t="s">
        <v>81</v>
      </c>
      <c r="Y23">
        <v>29.8783</v>
      </c>
      <c r="Z23" s="12" t="s">
        <v>82</v>
      </c>
      <c r="AA23" s="23">
        <f t="shared" si="1"/>
        <v>0.325</v>
      </c>
    </row>
    <row r="24" spans="1:27">
      <c r="A24" t="s">
        <v>26</v>
      </c>
      <c r="B24" s="9">
        <v>44673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0.1</v>
      </c>
      <c r="M24" s="6">
        <v>0</v>
      </c>
      <c r="N24" s="6">
        <v>0</v>
      </c>
      <c r="O24" s="6">
        <v>0.6</v>
      </c>
      <c r="P24" s="6">
        <v>0.6</v>
      </c>
      <c r="Q24" s="6">
        <v>0.7</v>
      </c>
      <c r="R24" s="6">
        <v>1.5</v>
      </c>
      <c r="S24" s="23">
        <f t="shared" si="0"/>
        <v>0.21875</v>
      </c>
      <c r="T24" s="24">
        <v>20.25</v>
      </c>
      <c r="U24">
        <v>31.9917</v>
      </c>
      <c r="V24" s="11" t="s">
        <v>83</v>
      </c>
      <c r="Y24">
        <v>28.4833</v>
      </c>
      <c r="Z24" s="12" t="s">
        <v>84</v>
      </c>
      <c r="AA24" s="23">
        <f t="shared" si="1"/>
        <v>0.5125</v>
      </c>
    </row>
    <row r="25" spans="1:27">
      <c r="A25" t="s">
        <v>28</v>
      </c>
      <c r="B25" s="9">
        <v>44674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0.1</v>
      </c>
      <c r="K25" s="6">
        <v>0.1</v>
      </c>
      <c r="L25" s="6">
        <v>0.1</v>
      </c>
      <c r="M25" s="6">
        <v>0.2</v>
      </c>
      <c r="N25" s="6">
        <v>0.2</v>
      </c>
      <c r="O25" s="6">
        <v>0</v>
      </c>
      <c r="P25" s="6">
        <v>0.1</v>
      </c>
      <c r="Q25" s="6">
        <v>0.1</v>
      </c>
      <c r="R25" s="6">
        <v>0.1</v>
      </c>
      <c r="S25" s="23">
        <f t="shared" si="0"/>
        <v>0.0625</v>
      </c>
      <c r="T25" s="24">
        <v>3.31</v>
      </c>
      <c r="U25">
        <v>33.505</v>
      </c>
      <c r="V25" s="11" t="s">
        <v>85</v>
      </c>
      <c r="Y25">
        <v>27.4633</v>
      </c>
      <c r="Z25" s="12" t="s">
        <v>86</v>
      </c>
      <c r="AA25" s="23">
        <f t="shared" si="1"/>
        <v>0.4</v>
      </c>
    </row>
    <row r="26" spans="1:27">
      <c r="A26" s="24" t="s">
        <v>29</v>
      </c>
      <c r="B26" s="9">
        <v>44674</v>
      </c>
      <c r="C26" s="6">
        <v>0</v>
      </c>
      <c r="D26" s="6">
        <v>0</v>
      </c>
      <c r="E26" s="6">
        <v>0</v>
      </c>
      <c r="F26" s="6">
        <v>0</v>
      </c>
      <c r="G26" s="6">
        <v>0.2</v>
      </c>
      <c r="H26" s="6">
        <v>0.3</v>
      </c>
      <c r="I26" s="6">
        <v>0.3</v>
      </c>
      <c r="J26" s="6">
        <v>0.3</v>
      </c>
      <c r="K26" s="6">
        <v>0.4</v>
      </c>
      <c r="L26" s="6">
        <v>0.4</v>
      </c>
      <c r="M26" s="6">
        <v>0.4</v>
      </c>
      <c r="N26" s="6">
        <v>0.6</v>
      </c>
      <c r="O26" s="6">
        <v>0.8</v>
      </c>
      <c r="P26" s="6">
        <v>1</v>
      </c>
      <c r="Q26" s="6">
        <v>1.6</v>
      </c>
      <c r="R26" s="6">
        <v>1.9</v>
      </c>
      <c r="S26" s="23">
        <f t="shared" si="0"/>
        <v>0.5125</v>
      </c>
      <c r="T26" s="24">
        <v>6.52</v>
      </c>
      <c r="U26">
        <v>35.49</v>
      </c>
      <c r="V26" s="20" t="s">
        <v>87</v>
      </c>
      <c r="Y26">
        <v>26.6817</v>
      </c>
      <c r="Z26" s="12" t="s">
        <v>88</v>
      </c>
      <c r="AA26" s="23">
        <f t="shared" si="1"/>
        <v>0.6</v>
      </c>
    </row>
    <row r="27" spans="1:27">
      <c r="A27" t="s">
        <v>30</v>
      </c>
      <c r="B27" s="9">
        <v>44675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0.1</v>
      </c>
      <c r="L27" s="6">
        <v>0.1</v>
      </c>
      <c r="M27" s="6">
        <v>0.2</v>
      </c>
      <c r="N27" s="6">
        <v>0.2</v>
      </c>
      <c r="O27" s="6">
        <v>0.1</v>
      </c>
      <c r="P27" s="6">
        <v>0.2</v>
      </c>
      <c r="Q27" s="6">
        <v>0.2</v>
      </c>
      <c r="R27" s="6">
        <v>0.2</v>
      </c>
      <c r="S27" s="23">
        <f t="shared" si="0"/>
        <v>0.08125</v>
      </c>
      <c r="T27" s="24">
        <v>2.18</v>
      </c>
      <c r="U27">
        <v>35.89</v>
      </c>
      <c r="V27" s="14" t="s">
        <v>85</v>
      </c>
      <c r="Y27">
        <v>25.865</v>
      </c>
      <c r="Z27" s="12" t="s">
        <v>89</v>
      </c>
      <c r="AA27" s="23">
        <f t="shared" si="1"/>
        <v>0.26875</v>
      </c>
    </row>
    <row r="28" spans="1:27">
      <c r="A28" t="s">
        <v>31</v>
      </c>
      <c r="B28" s="9">
        <v>44675</v>
      </c>
      <c r="C28" s="6">
        <v>0</v>
      </c>
      <c r="D28" s="6">
        <v>0</v>
      </c>
      <c r="E28" s="6">
        <v>0</v>
      </c>
      <c r="F28" s="6">
        <v>0</v>
      </c>
      <c r="G28" s="6">
        <v>0.2</v>
      </c>
      <c r="H28" s="6">
        <v>0.2</v>
      </c>
      <c r="I28" s="6">
        <v>0.3</v>
      </c>
      <c r="J28" s="6">
        <v>0.3</v>
      </c>
      <c r="K28" s="6">
        <v>0.5</v>
      </c>
      <c r="L28" s="6">
        <v>0.5</v>
      </c>
      <c r="M28" s="6">
        <v>0.8</v>
      </c>
      <c r="N28" s="6">
        <v>0.7</v>
      </c>
      <c r="O28" s="6">
        <v>2.6</v>
      </c>
      <c r="P28" s="6">
        <v>3</v>
      </c>
      <c r="Q28" s="6">
        <v>3.3</v>
      </c>
      <c r="R28" s="6">
        <v>3.9</v>
      </c>
      <c r="S28" s="23">
        <f t="shared" si="0"/>
        <v>1.01875</v>
      </c>
      <c r="T28" s="24">
        <v>1.84</v>
      </c>
      <c r="U28">
        <v>36.2808</v>
      </c>
      <c r="V28" s="11" t="s">
        <v>90</v>
      </c>
      <c r="Y28">
        <v>27.7983</v>
      </c>
      <c r="Z28" s="7" t="s">
        <v>91</v>
      </c>
      <c r="AA28" s="23">
        <f t="shared" si="1"/>
        <v>0.075</v>
      </c>
    </row>
    <row r="29" spans="1:27">
      <c r="A29" t="s">
        <v>32</v>
      </c>
      <c r="B29" s="9">
        <v>44676</v>
      </c>
      <c r="C29" s="6">
        <v>0.1</v>
      </c>
      <c r="D29" s="6">
        <v>0.1</v>
      </c>
      <c r="E29" s="6">
        <v>0</v>
      </c>
      <c r="F29" s="6">
        <v>0.1</v>
      </c>
      <c r="G29" s="6">
        <v>0.1</v>
      </c>
      <c r="H29" s="6">
        <v>0.1</v>
      </c>
      <c r="I29" s="6">
        <v>0.5</v>
      </c>
      <c r="J29" s="6">
        <v>1.6</v>
      </c>
      <c r="K29" s="6">
        <v>0.7</v>
      </c>
      <c r="L29" s="6">
        <v>0.6</v>
      </c>
      <c r="M29" s="6">
        <v>1.8</v>
      </c>
      <c r="N29" s="6">
        <v>2.2</v>
      </c>
      <c r="O29" s="6">
        <v>1.6</v>
      </c>
      <c r="P29" s="6">
        <v>1.6</v>
      </c>
      <c r="Q29" s="6">
        <v>2.4</v>
      </c>
      <c r="R29" s="6">
        <v>2.5</v>
      </c>
      <c r="S29" s="23">
        <f t="shared" si="0"/>
        <v>1</v>
      </c>
      <c r="T29" s="24">
        <v>2.95</v>
      </c>
      <c r="U29">
        <v>36.315</v>
      </c>
      <c r="V29" s="11" t="s">
        <v>92</v>
      </c>
      <c r="Y29">
        <v>28</v>
      </c>
      <c r="Z29" s="7" t="s">
        <v>93</v>
      </c>
      <c r="AA29" s="23">
        <f t="shared" si="1"/>
        <v>0.55625</v>
      </c>
    </row>
    <row r="30" spans="1:27">
      <c r="A30" t="s">
        <v>33</v>
      </c>
      <c r="B30" s="9">
        <v>44676</v>
      </c>
      <c r="C30">
        <v>0.1</v>
      </c>
      <c r="D30">
        <v>0.1</v>
      </c>
      <c r="E30">
        <v>0.1</v>
      </c>
      <c r="F30">
        <v>0.2</v>
      </c>
      <c r="G30">
        <v>0</v>
      </c>
      <c r="H30">
        <v>0.1</v>
      </c>
      <c r="I30">
        <v>0.5</v>
      </c>
      <c r="J30">
        <v>0.9</v>
      </c>
      <c r="K30" s="6">
        <v>0.7</v>
      </c>
      <c r="L30" s="6">
        <v>1</v>
      </c>
      <c r="M30" s="6">
        <v>1.7</v>
      </c>
      <c r="N30" s="6">
        <v>2</v>
      </c>
      <c r="O30" s="6">
        <v>1.4</v>
      </c>
      <c r="P30" s="6">
        <v>2.1</v>
      </c>
      <c r="Q30" s="6">
        <v>2.1</v>
      </c>
      <c r="R30" s="6">
        <v>2.2</v>
      </c>
      <c r="S30" s="23">
        <f t="shared" si="0"/>
        <v>0.95</v>
      </c>
      <c r="U30">
        <v>36.315</v>
      </c>
      <c r="V30" s="20" t="s">
        <v>94</v>
      </c>
      <c r="Y30">
        <v>28.5333</v>
      </c>
      <c r="Z30" s="7" t="s">
        <v>95</v>
      </c>
      <c r="AA30" s="23">
        <f t="shared" si="1"/>
        <v>0.16875</v>
      </c>
    </row>
    <row r="31" spans="1:27">
      <c r="A31" t="s">
        <v>34</v>
      </c>
      <c r="B31" s="9">
        <v>44677</v>
      </c>
      <c r="C31">
        <v>0.1</v>
      </c>
      <c r="D31">
        <v>0.1</v>
      </c>
      <c r="E31">
        <v>0.1</v>
      </c>
      <c r="F31">
        <v>0.2</v>
      </c>
      <c r="G31">
        <v>0.2</v>
      </c>
      <c r="H31">
        <v>0.3</v>
      </c>
      <c r="I31">
        <v>0.8</v>
      </c>
      <c r="J31">
        <v>0.9</v>
      </c>
      <c r="K31" s="6">
        <v>0.2</v>
      </c>
      <c r="L31" s="6">
        <v>0.4</v>
      </c>
      <c r="M31" s="6">
        <v>0.6</v>
      </c>
      <c r="N31" s="6">
        <v>0.6</v>
      </c>
      <c r="O31" s="6">
        <v>1.9</v>
      </c>
      <c r="P31" s="6">
        <v>2.3</v>
      </c>
      <c r="Q31" s="6">
        <v>2.6</v>
      </c>
      <c r="R31" s="6">
        <v>3</v>
      </c>
      <c r="S31" s="23">
        <f t="shared" si="0"/>
        <v>0.89375</v>
      </c>
      <c r="U31" s="11" t="s">
        <v>96</v>
      </c>
      <c r="V31" s="11" t="s">
        <v>97</v>
      </c>
      <c r="Y31">
        <v>31.9917</v>
      </c>
      <c r="Z31" s="7" t="s">
        <v>98</v>
      </c>
      <c r="AA31" s="23">
        <f t="shared" si="1"/>
        <v>0.21875</v>
      </c>
    </row>
    <row r="32" spans="1:27">
      <c r="R32" t="s">
        <v>37</v>
      </c>
      <c r="S32" s="23">
        <f>AVERAGE(S4:S31)</f>
        <v>0.542410714285714</v>
      </c>
    </row>
    <row r="33" spans="18:25">
      <c r="R33" t="s">
        <v>44</v>
      </c>
      <c r="S33" s="23">
        <f>STDEV(S4:S31)</f>
        <v>0.384773702217277</v>
      </c>
    </row>
    <row r="34" spans="18:25">
      <c r="R34" t="s">
        <v>99</v>
      </c>
      <c r="S34" s="23">
        <f>MEDIAN(S4:S31)</f>
        <v>0.49375</v>
      </c>
      <c r="Y34" s="25"/>
    </row>
    <row r="35" spans="18:25">
      <c r="Y35" s="25" t="s">
        <v>100</v>
      </c>
    </row>
    <row r="36" spans="18:25">
      <c r="Y36">
        <v>4.41</v>
      </c>
    </row>
    <row r="37" spans="18:25">
      <c r="Y37">
        <v>0.36</v>
      </c>
    </row>
    <row r="38" spans="18:25">
      <c r="Y38">
        <v>3.33</v>
      </c>
    </row>
    <row r="39" spans="18:25">
      <c r="Y39">
        <v>12.01</v>
      </c>
    </row>
    <row r="40" spans="18:25">
      <c r="Y40">
        <v>5.16</v>
      </c>
    </row>
    <row r="41" spans="18:25">
      <c r="Y41">
        <v>19.07</v>
      </c>
    </row>
    <row r="42" spans="18:25">
      <c r="Y42">
        <v>11.52</v>
      </c>
    </row>
    <row r="43" spans="18:25">
      <c r="Y43">
        <v>6.55</v>
      </c>
    </row>
    <row r="44" spans="18:25">
      <c r="Y44">
        <v>16.04</v>
      </c>
    </row>
    <row r="45" spans="18:25">
      <c r="Y45">
        <v>11.23</v>
      </c>
    </row>
    <row r="46" spans="18:25">
      <c r="Y46">
        <v>10.73</v>
      </c>
    </row>
    <row r="47" spans="18:25">
      <c r="Y47">
        <v>7.22</v>
      </c>
    </row>
    <row r="48" spans="18:25">
      <c r="Y48">
        <v>8.02</v>
      </c>
    </row>
    <row r="49" spans="25:25">
      <c r="Y49">
        <v>9.72</v>
      </c>
    </row>
    <row r="50" spans="25:25">
      <c r="Y50">
        <v>7.03</v>
      </c>
    </row>
    <row r="51" spans="25:25">
      <c r="Y51">
        <v>7.36</v>
      </c>
    </row>
    <row r="52" spans="25:25">
      <c r="Y52">
        <v>15.95</v>
      </c>
    </row>
    <row r="53" spans="25:25">
      <c r="Y53">
        <v>14.26</v>
      </c>
    </row>
    <row r="54" spans="25:25">
      <c r="Y54">
        <v>8.51</v>
      </c>
    </row>
    <row r="55" spans="25:25">
      <c r="Y55">
        <v>26.9</v>
      </c>
    </row>
    <row r="56" spans="25:25">
      <c r="Y56">
        <v>20.25</v>
      </c>
    </row>
    <row r="57" spans="25:25">
      <c r="Y57">
        <v>3.31</v>
      </c>
    </row>
    <row r="58" spans="25:25">
      <c r="Y58">
        <v>6.52</v>
      </c>
    </row>
    <row r="59" spans="25:25">
      <c r="Y59">
        <v>2.18</v>
      </c>
    </row>
    <row r="60" spans="25:25">
      <c r="Y60">
        <v>1.84</v>
      </c>
    </row>
    <row r="61" spans="25:25">
      <c r="Y61">
        <v>2.95</v>
      </c>
    </row>
  </sheetData>
  <mergeCells count="5">
    <mergeCell ref="A1:B1"/>
    <mergeCell ref="C2:F2"/>
    <mergeCell ref="G2:J2"/>
    <mergeCell ref="K2:N2"/>
    <mergeCell ref="O2:R2"/>
  </mergeCells>
  <conditionalFormatting sqref="C25:R25">
    <cfRule type="colorScale" priority="2">
      <colorScale>
        <cfvo type="min"/>
        <cfvo type="max"/>
        <color rgb="FFFCFCFF"/>
        <color rgb="FFF8696B"/>
      </colorScale>
    </cfRule>
  </conditionalFormatting>
  <conditionalFormatting sqref="C4:R24 C26:R31">
    <cfRule type="colorScale" priority="3">
      <colorScale>
        <cfvo type="min"/>
        <cfvo type="max"/>
        <color rgb="FFFCFCFF"/>
        <color rgb="FFF8696B"/>
      </colorScale>
    </cfRule>
  </conditionalFormatting>
  <conditionalFormatting sqref="C4:R3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62"/>
  <sheetViews>
    <sheetView tabSelected="1" zoomScale="85" zoomScaleNormal="85" topLeftCell="H1" workbookViewId="0">
      <selection activeCell="H26" sqref="H26"/>
    </sheetView>
  </sheetViews>
  <sheetFormatPr defaultColWidth="9" defaultRowHeight="13.8"/>
  <cols>
    <col min="6" max="6" width="9.55555555555556" customWidth="1"/>
    <col min="7" max="7" width="18.7777777777778" customWidth="1"/>
    <col min="8" max="8" width="10.1111111111111" customWidth="1"/>
    <col min="9" max="10" width="13.8888888888889" customWidth="1"/>
    <col min="11" max="11" width="15.8888888888889" customWidth="1"/>
    <col min="12" max="13" width="30" customWidth="1"/>
    <col min="14" max="14" width="9.33333333333333" customWidth="1"/>
    <col min="15" max="15" width="8.11111111111111" customWidth="1"/>
    <col min="16" max="16" width="12.3333333333333" customWidth="1"/>
    <col min="17" max="17" width="7.11111111111111" customWidth="1"/>
    <col min="18" max="18" width="9.11111111111111" customWidth="1"/>
    <col min="19" max="19" width="9.44444444444444"/>
    <col min="20" max="20" width="9.66666666666667"/>
  </cols>
  <sheetData>
    <row r="1" spans="2:20">
      <c r="F1" s="1" t="s">
        <v>101</v>
      </c>
      <c r="G1" s="1"/>
      <c r="H1" s="1"/>
      <c r="I1" s="1"/>
      <c r="J1" s="1"/>
      <c r="K1" s="2"/>
      <c r="L1" s="1"/>
      <c r="M1" s="1"/>
      <c r="N1" s="1"/>
      <c r="O1" s="2"/>
      <c r="P1" s="2"/>
      <c r="Q1" s="2"/>
      <c r="R1" s="2"/>
    </row>
    <row r="2" spans="2:20">
      <c r="B2" s="3">
        <v>0.95</v>
      </c>
      <c r="C2" s="3">
        <v>0.97</v>
      </c>
      <c r="D2" s="3">
        <v>0.99</v>
      </c>
      <c r="E2" s="3">
        <v>1.01</v>
      </c>
      <c r="F2" s="1" t="s">
        <v>102</v>
      </c>
      <c r="G2" s="1"/>
      <c r="H2" s="1" t="s">
        <v>103</v>
      </c>
      <c r="I2" s="1" t="s">
        <v>104</v>
      </c>
      <c r="J2" s="1" t="s">
        <v>105</v>
      </c>
      <c r="K2" s="2" t="s">
        <v>106</v>
      </c>
      <c r="L2" s="4" t="s">
        <v>107</v>
      </c>
      <c r="M2" s="4" t="s">
        <v>39</v>
      </c>
      <c r="N2" s="1" t="s">
        <v>108</v>
      </c>
      <c r="O2" s="2" t="s">
        <v>109</v>
      </c>
      <c r="P2" s="2" t="s">
        <v>110</v>
      </c>
      <c r="Q2" s="2" t="s">
        <v>111</v>
      </c>
      <c r="R2" s="2" t="s">
        <v>112</v>
      </c>
      <c r="S2" s="5" t="s">
        <v>38</v>
      </c>
      <c r="T2" t="s">
        <v>113</v>
      </c>
    </row>
    <row r="3" ht="15" spans="2:20">
      <c r="B3" s="6">
        <v>0.2</v>
      </c>
      <c r="C3" s="6">
        <v>0.2</v>
      </c>
      <c r="D3" s="6">
        <v>0.4</v>
      </c>
      <c r="E3" s="6">
        <v>1.3</v>
      </c>
      <c r="F3" s="7" t="s">
        <v>46</v>
      </c>
      <c r="G3" s="8">
        <v>45757.2256944444</v>
      </c>
      <c r="H3" s="9">
        <v>44661</v>
      </c>
      <c r="I3" s="10">
        <v>0.559027777777778</v>
      </c>
      <c r="J3" s="10">
        <v>0.5625</v>
      </c>
      <c r="K3" s="2">
        <v>5</v>
      </c>
      <c r="L3" s="11" t="s">
        <v>114</v>
      </c>
      <c r="M3" s="11" t="s">
        <v>40</v>
      </c>
      <c r="N3" s="2">
        <v>5.5</v>
      </c>
      <c r="O3" s="2">
        <v>207</v>
      </c>
      <c r="P3" s="2">
        <v>11.4</v>
      </c>
      <c r="Q3" s="2">
        <v>95</v>
      </c>
      <c r="R3" s="2">
        <v>1009.9</v>
      </c>
      <c r="S3" s="5">
        <v>35.9815</v>
      </c>
      <c r="T3">
        <v>121.0117</v>
      </c>
    </row>
    <row r="4" ht="15" spans="2:20">
      <c r="B4" s="6">
        <v>1.3</v>
      </c>
      <c r="C4" s="6">
        <v>1.4</v>
      </c>
      <c r="D4" s="6">
        <v>1.6</v>
      </c>
      <c r="E4" s="6">
        <v>1.4</v>
      </c>
      <c r="F4" s="12" t="s">
        <v>48</v>
      </c>
      <c r="G4" s="8">
        <v>45758.3048611111</v>
      </c>
      <c r="H4" s="13">
        <v>44662</v>
      </c>
      <c r="I4" s="10">
        <v>0.638194444444444</v>
      </c>
      <c r="J4" s="10">
        <v>0.641666666666667</v>
      </c>
      <c r="K4" s="2">
        <v>5</v>
      </c>
      <c r="L4" s="11" t="s">
        <v>115</v>
      </c>
      <c r="M4" s="11" t="s">
        <v>45</v>
      </c>
      <c r="N4" s="2">
        <v>5.5</v>
      </c>
      <c r="O4" s="2">
        <v>137</v>
      </c>
      <c r="P4" s="2">
        <v>18.5</v>
      </c>
      <c r="Q4" s="2">
        <v>91</v>
      </c>
      <c r="R4" s="2"/>
      <c r="S4" s="5">
        <v>31.7067</v>
      </c>
      <c r="T4">
        <v>122.4967</v>
      </c>
    </row>
    <row r="5" ht="15" spans="2:20">
      <c r="B5" s="6">
        <v>0.4</v>
      </c>
      <c r="C5" s="6">
        <v>0.7</v>
      </c>
      <c r="D5" s="6">
        <v>0.7</v>
      </c>
      <c r="E5" s="6">
        <v>0.7</v>
      </c>
      <c r="F5" s="12" t="s">
        <v>50</v>
      </c>
      <c r="G5" s="8">
        <v>45758.6388888889</v>
      </c>
      <c r="H5" s="9">
        <v>44662</v>
      </c>
      <c r="I5" s="10">
        <v>0.972222222222222</v>
      </c>
      <c r="J5" s="10">
        <v>0.975694444444445</v>
      </c>
      <c r="K5" s="2">
        <v>5</v>
      </c>
      <c r="L5" s="14" t="s">
        <v>116</v>
      </c>
      <c r="M5" s="14" t="s">
        <v>47</v>
      </c>
      <c r="N5" s="2">
        <v>8.6</v>
      </c>
      <c r="O5" s="2">
        <v>180</v>
      </c>
      <c r="P5" s="2">
        <v>17.5</v>
      </c>
      <c r="Q5" s="2">
        <v>98</v>
      </c>
      <c r="R5" s="2">
        <v>1010.4</v>
      </c>
      <c r="S5" s="5">
        <v>31.9983</v>
      </c>
      <c r="T5">
        <v>123.5017</v>
      </c>
    </row>
    <row r="6" ht="15" spans="2:20">
      <c r="B6" s="6">
        <v>0.4</v>
      </c>
      <c r="C6" s="6">
        <v>0.5</v>
      </c>
      <c r="D6" s="6">
        <v>0.7</v>
      </c>
      <c r="E6" s="6">
        <v>0.8</v>
      </c>
      <c r="F6" s="12" t="s">
        <v>52</v>
      </c>
      <c r="G6" s="8">
        <v>45759.2465277778</v>
      </c>
      <c r="H6" s="9">
        <v>44663</v>
      </c>
      <c r="I6" s="10">
        <v>0.579861111111111</v>
      </c>
      <c r="J6" s="10">
        <v>0.583333333333333</v>
      </c>
      <c r="K6" s="2">
        <v>5</v>
      </c>
      <c r="L6" s="11" t="s">
        <v>117</v>
      </c>
      <c r="M6" s="11" t="s">
        <v>49</v>
      </c>
      <c r="N6" s="2">
        <v>5.9</v>
      </c>
      <c r="O6" s="2">
        <v>145</v>
      </c>
      <c r="P6" s="2">
        <v>17.3</v>
      </c>
      <c r="Q6" s="2">
        <v>98</v>
      </c>
      <c r="R6" s="2"/>
      <c r="S6" s="5">
        <v>31.3767</v>
      </c>
      <c r="T6">
        <v>125.1117</v>
      </c>
    </row>
    <row r="7" ht="15" spans="2:20">
      <c r="B7" s="6">
        <v>0.1</v>
      </c>
      <c r="C7" s="6">
        <v>0.2</v>
      </c>
      <c r="D7" s="6">
        <v>0.2</v>
      </c>
      <c r="E7" s="6">
        <v>0.4</v>
      </c>
      <c r="F7" s="12" t="s">
        <v>66</v>
      </c>
      <c r="G7" s="8">
        <v>45759.6076388889</v>
      </c>
      <c r="H7" s="9">
        <v>44663</v>
      </c>
      <c r="I7" s="10">
        <v>0.940972222222222</v>
      </c>
      <c r="J7" s="10">
        <v>0.944444444444445</v>
      </c>
      <c r="K7" s="2">
        <v>5</v>
      </c>
      <c r="L7" s="14" t="s">
        <v>118</v>
      </c>
      <c r="M7" s="14" t="s">
        <v>51</v>
      </c>
      <c r="N7" s="2">
        <v>4.5</v>
      </c>
      <c r="O7" s="2">
        <v>137</v>
      </c>
      <c r="P7" s="2">
        <v>19.9</v>
      </c>
      <c r="Q7" s="2">
        <v>99</v>
      </c>
      <c r="R7" s="2"/>
      <c r="S7" s="5">
        <v>30.4033</v>
      </c>
      <c r="T7">
        <v>125.7017</v>
      </c>
    </row>
    <row r="8" ht="15" spans="2:20">
      <c r="B8" s="6">
        <v>0.2</v>
      </c>
      <c r="C8" s="6">
        <v>0.2</v>
      </c>
      <c r="D8" s="6">
        <v>0.3</v>
      </c>
      <c r="E8" s="6">
        <v>0.3</v>
      </c>
      <c r="F8" s="15" t="s">
        <v>68</v>
      </c>
      <c r="G8" s="8">
        <v>45760.2548611111</v>
      </c>
      <c r="H8" s="9">
        <v>44664</v>
      </c>
      <c r="I8" s="10">
        <v>0.588194444444444</v>
      </c>
      <c r="J8" s="10">
        <v>0.591666666666667</v>
      </c>
      <c r="K8" s="2">
        <v>5</v>
      </c>
      <c r="L8" s="11" t="s">
        <v>119</v>
      </c>
      <c r="M8" s="11" t="s">
        <v>53</v>
      </c>
      <c r="N8" s="2">
        <v>5.6</v>
      </c>
      <c r="O8" s="2">
        <v>116</v>
      </c>
      <c r="P8" s="2">
        <v>21</v>
      </c>
      <c r="Q8" s="2">
        <v>98</v>
      </c>
      <c r="R8" s="2"/>
      <c r="S8" s="5">
        <v>30</v>
      </c>
      <c r="T8">
        <v>124.5483</v>
      </c>
    </row>
    <row r="9" ht="15" spans="2:20">
      <c r="B9" s="6">
        <v>0.1</v>
      </c>
      <c r="C9" s="6">
        <v>0.2</v>
      </c>
      <c r="D9" s="6">
        <v>0.2</v>
      </c>
      <c r="E9" s="6">
        <v>0.4</v>
      </c>
      <c r="F9" s="7" t="s">
        <v>70</v>
      </c>
      <c r="G9" s="8">
        <v>45760.9388888889</v>
      </c>
      <c r="H9" s="9">
        <v>44665</v>
      </c>
      <c r="I9" s="10">
        <v>0.272222222222222</v>
      </c>
      <c r="J9" s="10">
        <v>0.275694444444444</v>
      </c>
      <c r="K9" s="2">
        <v>5</v>
      </c>
      <c r="L9" s="11" t="s">
        <v>120</v>
      </c>
      <c r="M9" s="11" t="s">
        <v>55</v>
      </c>
      <c r="N9" s="2">
        <v>17.4</v>
      </c>
      <c r="O9" s="2">
        <v>50</v>
      </c>
      <c r="P9" s="2">
        <v>18.2</v>
      </c>
      <c r="Q9" s="2">
        <v>91</v>
      </c>
      <c r="R9" s="2"/>
      <c r="S9" s="5">
        <v>29.9933</v>
      </c>
      <c r="T9">
        <v>123.0783</v>
      </c>
    </row>
    <row r="10" ht="15" spans="2:20">
      <c r="B10" s="6">
        <v>0.9</v>
      </c>
      <c r="C10" s="6">
        <v>1.1</v>
      </c>
      <c r="D10" s="6">
        <v>1.2</v>
      </c>
      <c r="E10" s="6">
        <v>1.4</v>
      </c>
      <c r="F10" s="12" t="s">
        <v>72</v>
      </c>
      <c r="G10" s="8">
        <v>45761.9791666667</v>
      </c>
      <c r="H10" s="9">
        <v>44666</v>
      </c>
      <c r="I10" s="10">
        <v>0.3125</v>
      </c>
      <c r="J10" s="10">
        <v>0.315972222222222</v>
      </c>
      <c r="K10" s="2">
        <v>5</v>
      </c>
      <c r="L10" s="11" t="s">
        <v>121</v>
      </c>
      <c r="M10" s="11" t="s">
        <v>57</v>
      </c>
      <c r="N10" s="2">
        <v>11</v>
      </c>
      <c r="O10" s="2">
        <v>0</v>
      </c>
      <c r="P10" s="16">
        <v>13.7</v>
      </c>
      <c r="Q10" s="2">
        <v>88</v>
      </c>
      <c r="R10" s="2"/>
      <c r="S10" s="5">
        <v>30.5067</v>
      </c>
      <c r="T10">
        <v>122.2283</v>
      </c>
    </row>
    <row r="11" ht="15" spans="2:20">
      <c r="B11" s="6">
        <v>0.4</v>
      </c>
      <c r="C11" s="6">
        <v>0.5</v>
      </c>
      <c r="D11" s="6">
        <v>0.6</v>
      </c>
      <c r="E11" s="6">
        <v>0.6</v>
      </c>
      <c r="F11" s="12" t="s">
        <v>74</v>
      </c>
      <c r="G11" s="8">
        <v>45762.5236111111</v>
      </c>
      <c r="H11" s="9">
        <v>44666</v>
      </c>
      <c r="I11" s="10">
        <v>0.856944444444444</v>
      </c>
      <c r="J11" s="10">
        <v>0.860416666666667</v>
      </c>
      <c r="K11" s="2">
        <v>5</v>
      </c>
      <c r="L11" s="11" t="s">
        <v>121</v>
      </c>
      <c r="M11" s="11" t="s">
        <v>59</v>
      </c>
      <c r="N11" s="2">
        <v>10</v>
      </c>
      <c r="O11" s="2">
        <v>1</v>
      </c>
      <c r="P11" s="2">
        <v>14.5</v>
      </c>
      <c r="Q11" s="2">
        <v>69</v>
      </c>
      <c r="R11" s="2"/>
      <c r="S11" s="5">
        <v>30.5067</v>
      </c>
      <c r="T11">
        <v>122.2283</v>
      </c>
    </row>
    <row r="12" ht="15" spans="2:20">
      <c r="B12" s="6">
        <v>0.1</v>
      </c>
      <c r="C12" s="6">
        <v>0.4</v>
      </c>
      <c r="D12" s="6">
        <v>0.5</v>
      </c>
      <c r="E12" s="6">
        <v>0.4</v>
      </c>
      <c r="F12" s="12" t="s">
        <v>76</v>
      </c>
      <c r="G12" s="8">
        <v>45763.0791666667</v>
      </c>
      <c r="H12" s="9">
        <v>44667</v>
      </c>
      <c r="I12" s="17">
        <v>0.4125</v>
      </c>
      <c r="J12" s="10">
        <v>0.415972222222222</v>
      </c>
      <c r="K12" s="2">
        <v>5</v>
      </c>
      <c r="L12" s="14" t="s">
        <v>122</v>
      </c>
      <c r="M12" s="14" t="s">
        <v>61</v>
      </c>
      <c r="N12" s="2">
        <v>8.1</v>
      </c>
      <c r="O12" s="2">
        <v>23</v>
      </c>
      <c r="P12" s="2">
        <v>14.3</v>
      </c>
      <c r="Q12" s="2">
        <v>48</v>
      </c>
      <c r="R12" s="2"/>
      <c r="S12" s="5">
        <v>30.505</v>
      </c>
      <c r="T12">
        <v>122.515</v>
      </c>
    </row>
    <row r="13" ht="15" spans="2:20">
      <c r="B13">
        <v>0.1</v>
      </c>
      <c r="C13">
        <v>0.1</v>
      </c>
      <c r="D13">
        <v>0.1</v>
      </c>
      <c r="E13">
        <v>0.1</v>
      </c>
      <c r="F13" s="12" t="s">
        <v>78</v>
      </c>
      <c r="G13" s="8">
        <v>45763.54375</v>
      </c>
      <c r="H13" s="9">
        <v>44667</v>
      </c>
      <c r="I13" s="17">
        <v>0.877083333333333</v>
      </c>
      <c r="J13" s="10">
        <v>0.880555555555556</v>
      </c>
      <c r="K13" s="2">
        <v>5</v>
      </c>
      <c r="L13" s="11" t="s">
        <v>123</v>
      </c>
      <c r="M13" s="11" t="s">
        <v>63</v>
      </c>
      <c r="N13" s="2">
        <v>4.7</v>
      </c>
      <c r="O13" s="2">
        <v>25</v>
      </c>
      <c r="P13" s="2">
        <v>13.9</v>
      </c>
      <c r="Q13" s="2">
        <v>73</v>
      </c>
      <c r="R13" s="2"/>
      <c r="S13" s="5">
        <v>30.3417</v>
      </c>
      <c r="T13">
        <v>122.6083</v>
      </c>
    </row>
    <row r="14" ht="15" spans="2:20">
      <c r="B14" s="6">
        <v>0</v>
      </c>
      <c r="C14" s="6">
        <v>0.2</v>
      </c>
      <c r="D14" s="6">
        <v>0.3</v>
      </c>
      <c r="E14" s="6">
        <v>0.4</v>
      </c>
      <c r="F14" s="12" t="s">
        <v>80</v>
      </c>
      <c r="G14" s="8">
        <v>45764.0020833333</v>
      </c>
      <c r="H14" s="18">
        <v>44668</v>
      </c>
      <c r="I14" s="17">
        <v>0.335416666666667</v>
      </c>
      <c r="J14" s="10">
        <v>0.338888888888889</v>
      </c>
      <c r="K14" s="2">
        <v>5</v>
      </c>
      <c r="L14" s="11" t="s">
        <v>124</v>
      </c>
      <c r="M14" s="11" t="s">
        <v>65</v>
      </c>
      <c r="N14" s="2">
        <v>7.9</v>
      </c>
      <c r="O14" s="2">
        <v>61</v>
      </c>
      <c r="P14" s="2">
        <v>15.2</v>
      </c>
      <c r="Q14" s="2">
        <v>56</v>
      </c>
      <c r="R14" s="2"/>
      <c r="S14" s="5">
        <v>29.4717</v>
      </c>
      <c r="T14">
        <v>123.085</v>
      </c>
    </row>
    <row r="15" ht="15" spans="2:20">
      <c r="B15" s="6">
        <v>0</v>
      </c>
      <c r="C15" s="6">
        <v>0.2</v>
      </c>
      <c r="D15" s="6">
        <v>0.2</v>
      </c>
      <c r="E15" s="6">
        <v>0.4</v>
      </c>
      <c r="F15" s="12" t="s">
        <v>82</v>
      </c>
      <c r="G15" s="8">
        <v>45764.5125</v>
      </c>
      <c r="H15" s="18">
        <v>44668</v>
      </c>
      <c r="I15" s="10">
        <v>0.845833333333333</v>
      </c>
      <c r="J15" s="10">
        <v>0.849305555555556</v>
      </c>
      <c r="K15" s="2">
        <v>5</v>
      </c>
      <c r="L15" s="11" t="s">
        <v>125</v>
      </c>
      <c r="M15" s="11" t="s">
        <v>67</v>
      </c>
      <c r="N15" s="2">
        <v>6.2</v>
      </c>
      <c r="O15" s="2">
        <v>56</v>
      </c>
      <c r="P15" s="2">
        <v>16</v>
      </c>
      <c r="Q15" s="2">
        <v>73</v>
      </c>
      <c r="R15" s="2"/>
      <c r="S15" s="5">
        <v>28.7367</v>
      </c>
      <c r="T15">
        <v>124.4617</v>
      </c>
    </row>
    <row r="16" ht="15" spans="2:20">
      <c r="B16" s="6">
        <v>0</v>
      </c>
      <c r="C16" s="6">
        <v>0.1</v>
      </c>
      <c r="D16" s="6">
        <v>0.1</v>
      </c>
      <c r="E16" s="6">
        <v>0.1</v>
      </c>
      <c r="F16" s="12" t="s">
        <v>84</v>
      </c>
      <c r="G16" s="8">
        <v>45765.0326388889</v>
      </c>
      <c r="H16" s="18">
        <v>44669</v>
      </c>
      <c r="I16" s="10">
        <v>0.365972222222222</v>
      </c>
      <c r="J16" s="10">
        <v>0.369444444444444</v>
      </c>
      <c r="K16" s="2">
        <v>5</v>
      </c>
      <c r="L16" s="11" t="s">
        <v>126</v>
      </c>
      <c r="M16" s="11" t="s">
        <v>69</v>
      </c>
      <c r="N16" s="2">
        <v>5.4</v>
      </c>
      <c r="O16" s="2">
        <v>50</v>
      </c>
      <c r="P16" s="2">
        <v>15.1</v>
      </c>
      <c r="Q16" s="2">
        <v>68</v>
      </c>
      <c r="R16" s="2"/>
      <c r="S16" s="5">
        <v>29.8783</v>
      </c>
      <c r="T16">
        <v>125.795</v>
      </c>
    </row>
    <row r="17" ht="15" spans="2:20">
      <c r="B17" s="6">
        <v>0.1</v>
      </c>
      <c r="C17" s="6">
        <v>0.4</v>
      </c>
      <c r="D17" s="6">
        <v>0.5</v>
      </c>
      <c r="E17" s="6">
        <v>0.6</v>
      </c>
      <c r="F17" s="12" t="s">
        <v>86</v>
      </c>
      <c r="G17" s="8">
        <v>45765.0576388889</v>
      </c>
      <c r="H17" s="18">
        <v>44669</v>
      </c>
      <c r="I17" s="10">
        <v>0.390972222222222</v>
      </c>
      <c r="J17" s="10">
        <v>0.395138888888889</v>
      </c>
      <c r="K17" s="2">
        <v>6</v>
      </c>
      <c r="L17" s="11" t="s">
        <v>127</v>
      </c>
      <c r="M17" s="11" t="s">
        <v>71</v>
      </c>
      <c r="N17" s="2">
        <v>6.3</v>
      </c>
      <c r="O17" s="2">
        <v>360</v>
      </c>
      <c r="P17" s="2">
        <v>16.5</v>
      </c>
      <c r="Q17" s="2">
        <v>62</v>
      </c>
      <c r="R17" s="2"/>
      <c r="S17" s="5">
        <v>28.4833</v>
      </c>
      <c r="T17">
        <v>124.6583</v>
      </c>
    </row>
    <row r="18" ht="15" spans="2:20">
      <c r="B18" s="6">
        <v>0.6</v>
      </c>
      <c r="C18" s="6">
        <v>0.5</v>
      </c>
      <c r="D18" s="6">
        <v>0.6</v>
      </c>
      <c r="E18" s="6">
        <v>0.6</v>
      </c>
      <c r="F18" s="12" t="s">
        <v>88</v>
      </c>
      <c r="G18" s="8">
        <v>45766.0083333333</v>
      </c>
      <c r="H18" s="18">
        <v>44670</v>
      </c>
      <c r="I18" s="10">
        <v>0.341666666666667</v>
      </c>
      <c r="J18" s="10">
        <v>0.345138888888889</v>
      </c>
      <c r="K18" s="2">
        <v>5</v>
      </c>
      <c r="L18" s="11" t="s">
        <v>128</v>
      </c>
      <c r="M18" s="11" t="s">
        <v>73</v>
      </c>
      <c r="N18" s="2">
        <v>6.6</v>
      </c>
      <c r="O18" s="2">
        <v>20</v>
      </c>
      <c r="P18" s="2">
        <v>17.6</v>
      </c>
      <c r="Q18" s="2">
        <v>55</v>
      </c>
      <c r="R18" s="2"/>
      <c r="S18" s="5">
        <v>27.4633</v>
      </c>
      <c r="T18">
        <v>123.1883</v>
      </c>
    </row>
    <row r="19" ht="15" spans="2:20">
      <c r="B19" s="6">
        <v>0.1</v>
      </c>
      <c r="C19" s="6">
        <v>0.1</v>
      </c>
      <c r="D19" s="6">
        <v>0.1</v>
      </c>
      <c r="E19" s="6">
        <v>0.3</v>
      </c>
      <c r="F19" s="12" t="s">
        <v>89</v>
      </c>
      <c r="G19" s="8">
        <v>45766.4951388889</v>
      </c>
      <c r="H19" s="18">
        <v>44670</v>
      </c>
      <c r="I19" s="10">
        <v>0.828472222222222</v>
      </c>
      <c r="J19" s="10">
        <v>0.831944444444444</v>
      </c>
      <c r="K19" s="2">
        <v>5</v>
      </c>
      <c r="L19" s="11" t="s">
        <v>129</v>
      </c>
      <c r="M19" s="11" t="s">
        <v>75</v>
      </c>
      <c r="N19" s="2">
        <v>4.8</v>
      </c>
      <c r="O19" s="2">
        <v>64</v>
      </c>
      <c r="P19" s="2">
        <v>18.6</v>
      </c>
      <c r="Q19" s="2">
        <v>54</v>
      </c>
      <c r="R19" s="2"/>
      <c r="S19" s="5">
        <v>26.6817</v>
      </c>
      <c r="T19">
        <v>122.39</v>
      </c>
    </row>
    <row r="20" ht="15" spans="2:20">
      <c r="B20">
        <v>0</v>
      </c>
      <c r="C20">
        <v>0</v>
      </c>
      <c r="D20">
        <v>0</v>
      </c>
      <c r="E20">
        <v>0.1</v>
      </c>
      <c r="F20" s="7" t="s">
        <v>91</v>
      </c>
      <c r="G20" s="8">
        <v>45766.9986111111</v>
      </c>
      <c r="H20" s="18">
        <v>44671</v>
      </c>
      <c r="I20" s="19">
        <v>0.331944444444444</v>
      </c>
      <c r="J20" s="10">
        <v>0.335416666666667</v>
      </c>
      <c r="K20" s="2">
        <v>5</v>
      </c>
      <c r="L20" s="11" t="s">
        <v>130</v>
      </c>
      <c r="M20" s="11" t="s">
        <v>77</v>
      </c>
      <c r="N20" s="2">
        <v>9</v>
      </c>
      <c r="O20" s="2">
        <v>93</v>
      </c>
      <c r="P20" s="2">
        <v>21.7</v>
      </c>
      <c r="Q20" s="2">
        <v>43</v>
      </c>
      <c r="R20" s="2"/>
      <c r="S20" s="5">
        <v>25.865</v>
      </c>
      <c r="T20">
        <v>122.5467</v>
      </c>
    </row>
    <row r="21" ht="15" spans="2:20">
      <c r="B21" s="6">
        <v>0.3</v>
      </c>
      <c r="C21" s="6">
        <v>0.5</v>
      </c>
      <c r="D21" s="6">
        <v>0.5</v>
      </c>
      <c r="E21" s="6">
        <v>0.6</v>
      </c>
      <c r="F21" s="7" t="s">
        <v>93</v>
      </c>
      <c r="G21" s="8">
        <v>45767.0743055556</v>
      </c>
      <c r="H21" s="18">
        <v>44672</v>
      </c>
      <c r="I21" s="17">
        <v>0.407638888888889</v>
      </c>
      <c r="J21" s="10">
        <v>0.411111111111111</v>
      </c>
      <c r="K21" s="2">
        <v>5</v>
      </c>
      <c r="L21" s="20" t="s">
        <v>131</v>
      </c>
      <c r="M21" s="20" t="s">
        <v>79</v>
      </c>
      <c r="N21" s="2">
        <v>6.8</v>
      </c>
      <c r="O21" s="2">
        <v>222</v>
      </c>
      <c r="P21" s="2">
        <v>16</v>
      </c>
      <c r="Q21" s="2">
        <v>86</v>
      </c>
      <c r="R21" s="2"/>
      <c r="S21" s="5">
        <v>27.7983</v>
      </c>
      <c r="T21">
        <v>121.625</v>
      </c>
    </row>
    <row r="22" ht="15" spans="2:20">
      <c r="B22" s="6">
        <v>0</v>
      </c>
      <c r="C22" s="6">
        <v>0</v>
      </c>
      <c r="D22" s="6">
        <v>0</v>
      </c>
      <c r="E22" s="6">
        <v>0</v>
      </c>
      <c r="F22" s="7" t="s">
        <v>95</v>
      </c>
      <c r="G22" s="8">
        <v>45768.4527777778</v>
      </c>
      <c r="H22" s="18">
        <v>44672</v>
      </c>
      <c r="I22" s="17">
        <v>0.786111111111111</v>
      </c>
      <c r="J22" s="10">
        <v>0.789583333333333</v>
      </c>
      <c r="K22" s="2">
        <v>5</v>
      </c>
      <c r="L22" s="11" t="s">
        <v>132</v>
      </c>
      <c r="M22" s="11" t="s">
        <v>81</v>
      </c>
      <c r="N22" s="2">
        <v>5.7</v>
      </c>
      <c r="O22" s="2">
        <v>161</v>
      </c>
      <c r="P22" s="2">
        <v>19</v>
      </c>
      <c r="Q22" s="2">
        <v>86</v>
      </c>
      <c r="R22" s="2"/>
      <c r="S22" s="5">
        <v>28</v>
      </c>
      <c r="T22">
        <v>122.9533</v>
      </c>
    </row>
    <row r="23" ht="15" spans="2:20">
      <c r="B23" s="6">
        <v>0</v>
      </c>
      <c r="C23" s="6">
        <v>0.1</v>
      </c>
      <c r="D23" s="6">
        <v>0</v>
      </c>
      <c r="E23" s="6">
        <v>0</v>
      </c>
      <c r="F23" s="7" t="s">
        <v>98</v>
      </c>
      <c r="G23" s="8">
        <v>45768.0486111111</v>
      </c>
      <c r="H23" s="18">
        <v>44673</v>
      </c>
      <c r="I23" s="17">
        <v>0.381944444444444</v>
      </c>
      <c r="J23" s="10">
        <v>0.385416666666667</v>
      </c>
      <c r="K23" s="2">
        <v>5</v>
      </c>
      <c r="L23" s="11" t="s">
        <v>133</v>
      </c>
      <c r="M23" s="11" t="s">
        <v>83</v>
      </c>
      <c r="N23" s="2">
        <v>1.6</v>
      </c>
      <c r="O23" s="2">
        <v>129</v>
      </c>
      <c r="P23" s="2">
        <v>18.5</v>
      </c>
      <c r="Q23" s="2">
        <v>97</v>
      </c>
      <c r="R23" s="2"/>
      <c r="S23" s="5">
        <v>28.5333</v>
      </c>
      <c r="T23">
        <v>122.4433</v>
      </c>
    </row>
    <row r="24" ht="15" spans="2:20">
      <c r="B24" s="6">
        <v>0.1</v>
      </c>
      <c r="C24" s="6">
        <v>0.1</v>
      </c>
      <c r="D24" s="6">
        <v>0.2</v>
      </c>
      <c r="E24" s="6">
        <v>0.2</v>
      </c>
      <c r="F24" s="12" t="s">
        <v>54</v>
      </c>
      <c r="G24" s="8">
        <v>45769.1458333333</v>
      </c>
      <c r="H24" s="18">
        <v>44674</v>
      </c>
      <c r="I24" s="21">
        <v>0.479166666666667</v>
      </c>
      <c r="J24" s="10">
        <v>0.482638888888889</v>
      </c>
      <c r="K24" s="2">
        <v>5</v>
      </c>
      <c r="L24" s="11" t="s">
        <v>134</v>
      </c>
      <c r="M24" s="11" t="s">
        <v>85</v>
      </c>
      <c r="N24" s="2">
        <v>4.8</v>
      </c>
      <c r="O24" s="2">
        <v>104</v>
      </c>
      <c r="P24" s="2">
        <v>17</v>
      </c>
      <c r="Q24" s="2">
        <v>95</v>
      </c>
      <c r="R24" s="2"/>
      <c r="S24" s="5">
        <v>31.9917</v>
      </c>
      <c r="T24">
        <v>122.9983</v>
      </c>
    </row>
    <row r="25" ht="15" spans="2:20">
      <c r="B25" s="6">
        <v>0.4</v>
      </c>
      <c r="C25" s="6">
        <v>0.4</v>
      </c>
      <c r="D25" s="6">
        <v>0.4</v>
      </c>
      <c r="E25" s="6">
        <v>0.6</v>
      </c>
      <c r="F25" s="12" t="s">
        <v>56</v>
      </c>
      <c r="G25" s="8">
        <v>45770.5145833333</v>
      </c>
      <c r="H25" s="18">
        <v>44674</v>
      </c>
      <c r="I25" s="21">
        <v>0.847916666666667</v>
      </c>
      <c r="J25" s="10">
        <v>0.851388888888889</v>
      </c>
      <c r="K25" s="2">
        <v>5</v>
      </c>
      <c r="L25" s="20" t="s">
        <v>135</v>
      </c>
      <c r="M25" s="20" t="s">
        <v>87</v>
      </c>
      <c r="N25" s="2">
        <v>4.5</v>
      </c>
      <c r="O25" s="2">
        <v>174</v>
      </c>
      <c r="P25" s="2">
        <v>13.8</v>
      </c>
      <c r="Q25" s="2">
        <v>98</v>
      </c>
      <c r="R25" s="2"/>
      <c r="S25" s="5">
        <v>33.505</v>
      </c>
      <c r="T25">
        <v>123</v>
      </c>
    </row>
    <row r="26" ht="15" spans="2:20">
      <c r="B26" s="6">
        <v>0.1</v>
      </c>
      <c r="C26" s="6">
        <v>0.1</v>
      </c>
      <c r="D26" s="6">
        <v>0.2</v>
      </c>
      <c r="E26" s="6">
        <v>0.2</v>
      </c>
      <c r="F26" s="12" t="s">
        <v>58</v>
      </c>
      <c r="G26" s="8">
        <v>45770.1645833333</v>
      </c>
      <c r="H26" s="18">
        <v>44675</v>
      </c>
      <c r="I26" s="21">
        <v>0.497916666666667</v>
      </c>
      <c r="J26" s="10">
        <v>0.501388888888889</v>
      </c>
      <c r="K26" s="2">
        <v>5</v>
      </c>
      <c r="L26" s="14" t="s">
        <v>136</v>
      </c>
      <c r="M26" s="14" t="s">
        <v>85</v>
      </c>
      <c r="N26" s="2">
        <v>6</v>
      </c>
      <c r="O26" s="2">
        <v>208</v>
      </c>
      <c r="P26" s="2">
        <v>14.1</v>
      </c>
      <c r="Q26" s="2">
        <v>92</v>
      </c>
      <c r="R26" s="2"/>
      <c r="S26" s="5">
        <v>35.49</v>
      </c>
      <c r="T26">
        <v>122.9983</v>
      </c>
    </row>
    <row r="27" ht="15" spans="2:20">
      <c r="B27" s="6">
        <v>0.5</v>
      </c>
      <c r="C27" s="6">
        <v>0.5</v>
      </c>
      <c r="D27" s="6">
        <v>0.8</v>
      </c>
      <c r="E27" s="6">
        <v>0.7</v>
      </c>
      <c r="F27" s="12" t="s">
        <v>60</v>
      </c>
      <c r="G27" s="8">
        <v>45771.4979166667</v>
      </c>
      <c r="H27" s="18">
        <v>44675</v>
      </c>
      <c r="I27" s="10">
        <v>0.83125</v>
      </c>
      <c r="J27" s="10">
        <v>0.834722222222222</v>
      </c>
      <c r="K27" s="2">
        <v>5</v>
      </c>
      <c r="L27" s="11" t="s">
        <v>137</v>
      </c>
      <c r="M27" s="11" t="s">
        <v>90</v>
      </c>
      <c r="N27" s="2">
        <v>10</v>
      </c>
      <c r="O27" s="2">
        <v>195</v>
      </c>
      <c r="P27" s="2">
        <v>14.3</v>
      </c>
      <c r="Q27" s="2">
        <v>95</v>
      </c>
      <c r="R27" s="2"/>
      <c r="S27" s="5">
        <v>35.89</v>
      </c>
      <c r="T27">
        <v>121.5483</v>
      </c>
    </row>
    <row r="28" ht="15" spans="2:20">
      <c r="B28" s="6">
        <v>0.7</v>
      </c>
      <c r="C28" s="6">
        <v>0.6</v>
      </c>
      <c r="D28" s="6">
        <v>1.8</v>
      </c>
      <c r="E28" s="6">
        <v>2.2</v>
      </c>
      <c r="F28" s="12" t="s">
        <v>62</v>
      </c>
      <c r="G28" s="8">
        <v>45771.1493055556</v>
      </c>
      <c r="H28" s="18">
        <v>44676</v>
      </c>
      <c r="I28" s="10">
        <v>0.482638888888889</v>
      </c>
      <c r="J28" s="10">
        <v>0.486111111111111</v>
      </c>
      <c r="K28" s="2">
        <v>5</v>
      </c>
      <c r="L28" s="11" t="s">
        <v>138</v>
      </c>
      <c r="M28" s="11" t="s">
        <v>92</v>
      </c>
      <c r="N28" s="2">
        <v>4.6</v>
      </c>
      <c r="O28" s="2">
        <v>87</v>
      </c>
      <c r="P28" s="2">
        <v>12.4</v>
      </c>
      <c r="Q28" s="2">
        <v>98</v>
      </c>
      <c r="R28" s="2"/>
      <c r="S28" s="5">
        <v>36.2808</v>
      </c>
      <c r="T28">
        <v>120.7867</v>
      </c>
    </row>
    <row r="29" ht="15" spans="2:20">
      <c r="B29" s="6">
        <v>0.7</v>
      </c>
      <c r="C29" s="6">
        <v>1</v>
      </c>
      <c r="D29" s="6">
        <v>1.7</v>
      </c>
      <c r="E29" s="6">
        <v>2</v>
      </c>
      <c r="F29" s="12" t="s">
        <v>139</v>
      </c>
      <c r="G29" s="8">
        <v>45772.5083333333</v>
      </c>
      <c r="H29" s="18">
        <v>44676</v>
      </c>
      <c r="I29" s="10">
        <v>0.841666666666667</v>
      </c>
      <c r="J29" s="10">
        <v>0.845138888888889</v>
      </c>
      <c r="K29" s="2">
        <v>5</v>
      </c>
      <c r="L29" s="20" t="s">
        <v>96</v>
      </c>
      <c r="M29" s="20" t="s">
        <v>94</v>
      </c>
      <c r="N29" s="2">
        <v>3.7</v>
      </c>
      <c r="O29" s="2">
        <v>56</v>
      </c>
      <c r="P29" s="2">
        <v>13.2</v>
      </c>
      <c r="Q29" s="2">
        <v>98</v>
      </c>
      <c r="R29" s="2"/>
      <c r="S29" s="5">
        <v>36.315</v>
      </c>
      <c r="T29">
        <v>120.7417</v>
      </c>
    </row>
    <row r="30" ht="15" spans="2:20">
      <c r="B30" s="6">
        <v>0.2</v>
      </c>
      <c r="C30" s="6">
        <v>0.4</v>
      </c>
      <c r="D30" s="6">
        <v>0.6</v>
      </c>
      <c r="E30" s="6">
        <v>0.6</v>
      </c>
      <c r="F30" s="7" t="s">
        <v>140</v>
      </c>
      <c r="G30" s="8">
        <v>45772.9979166667</v>
      </c>
      <c r="H30" s="18">
        <v>44677</v>
      </c>
      <c r="I30" s="10">
        <v>0.33125</v>
      </c>
      <c r="J30" s="10">
        <v>0.334722222222222</v>
      </c>
      <c r="K30" s="2">
        <v>5</v>
      </c>
      <c r="L30" s="11" t="s">
        <v>96</v>
      </c>
      <c r="M30" s="11" t="s">
        <v>97</v>
      </c>
      <c r="N30" s="2">
        <v>1.2</v>
      </c>
      <c r="O30" s="2">
        <v>288</v>
      </c>
      <c r="P30" s="2">
        <v>14.7</v>
      </c>
      <c r="Q30" s="2">
        <v>99</v>
      </c>
      <c r="R30" s="2"/>
      <c r="S30" s="5">
        <v>36.315</v>
      </c>
      <c r="T30">
        <v>120.7433</v>
      </c>
    </row>
    <row r="31" spans="2:20">
      <c r="N31">
        <f>AVERAGE(N3:N30)</f>
        <v>6.49642857142857</v>
      </c>
      <c r="O31">
        <f>AVERAGE(O3:O30)</f>
        <v>119.607142857143</v>
      </c>
      <c r="P31">
        <f>AVERAGE(P3:P30)</f>
        <v>16.2107142857143</v>
      </c>
      <c r="Q31">
        <f>AVERAGE(Q3:Q30)</f>
        <v>82.25</v>
      </c>
    </row>
    <row r="32" spans="2:20">
      <c r="F32" s="12" t="s">
        <v>48</v>
      </c>
      <c r="G32" s="12"/>
      <c r="H32" s="6">
        <v>1.4</v>
      </c>
      <c r="I32" s="10">
        <v>0.638194444444444</v>
      </c>
    </row>
    <row r="33" spans="6:15">
      <c r="F33" s="12" t="s">
        <v>50</v>
      </c>
      <c r="G33" s="12"/>
      <c r="H33" s="6">
        <v>0.7</v>
      </c>
      <c r="I33" s="10">
        <v>0.972222222222222</v>
      </c>
    </row>
    <row r="34" spans="6:15">
      <c r="F34" s="12" t="s">
        <v>52</v>
      </c>
      <c r="G34" s="12"/>
      <c r="H34" s="6">
        <v>0.8</v>
      </c>
      <c r="I34" s="10">
        <v>0.579861111111111</v>
      </c>
      <c r="L34" t="s">
        <v>107</v>
      </c>
      <c r="M34" t="s">
        <v>39</v>
      </c>
    </row>
    <row r="35" spans="6:15">
      <c r="F35" s="12" t="s">
        <v>66</v>
      </c>
      <c r="G35" s="12"/>
      <c r="H35" s="6">
        <v>0.4</v>
      </c>
      <c r="I35" s="10">
        <v>0.940972222222222</v>
      </c>
      <c r="L35" t="s">
        <v>141</v>
      </c>
      <c r="M35" t="s">
        <v>142</v>
      </c>
      <c r="O35" t="s">
        <v>41</v>
      </c>
    </row>
    <row r="36" spans="6:15">
      <c r="O36" s="7" t="s">
        <v>46</v>
      </c>
    </row>
    <row r="37" spans="6:15">
      <c r="F37" s="12" t="s">
        <v>72</v>
      </c>
      <c r="G37" s="12"/>
      <c r="H37" s="6">
        <v>1.4</v>
      </c>
      <c r="I37" s="10">
        <v>0.3125</v>
      </c>
      <c r="O37" s="12" t="s">
        <v>48</v>
      </c>
    </row>
    <row r="38" spans="6:15">
      <c r="F38" s="12" t="s">
        <v>74</v>
      </c>
      <c r="G38" s="12"/>
      <c r="H38" s="6">
        <v>0.6</v>
      </c>
      <c r="I38" s="10">
        <v>0.856944444444444</v>
      </c>
      <c r="O38" s="12" t="s">
        <v>50</v>
      </c>
    </row>
    <row r="39" spans="6:15">
      <c r="F39" s="12" t="s">
        <v>76</v>
      </c>
      <c r="G39" s="12"/>
      <c r="H39" s="6">
        <v>0.4</v>
      </c>
      <c r="I39" s="10">
        <v>0.4125</v>
      </c>
      <c r="O39" s="12" t="s">
        <v>52</v>
      </c>
    </row>
    <row r="40" spans="6:15">
      <c r="F40" s="12" t="s">
        <v>78</v>
      </c>
      <c r="G40" s="12"/>
      <c r="H40">
        <v>0.1</v>
      </c>
      <c r="I40" s="10">
        <v>0.877083333333333</v>
      </c>
      <c r="O40" s="12" t="s">
        <v>54</v>
      </c>
    </row>
    <row r="41" spans="6:15">
      <c r="F41" s="12" t="s">
        <v>80</v>
      </c>
      <c r="G41" s="12"/>
      <c r="H41" s="6">
        <v>0.4</v>
      </c>
      <c r="I41" s="10">
        <v>0.335416666666667</v>
      </c>
      <c r="O41" s="12" t="s">
        <v>56</v>
      </c>
    </row>
    <row r="42" spans="6:15">
      <c r="F42" s="12" t="s">
        <v>82</v>
      </c>
      <c r="G42" s="12"/>
      <c r="H42" s="6">
        <v>0.4</v>
      </c>
      <c r="I42" s="10">
        <v>0.845833333333333</v>
      </c>
      <c r="O42" s="12" t="s">
        <v>58</v>
      </c>
    </row>
    <row r="43" spans="6:15">
      <c r="F43" s="12" t="s">
        <v>84</v>
      </c>
      <c r="G43" s="12"/>
      <c r="H43" s="6">
        <v>0.1</v>
      </c>
      <c r="I43" s="10">
        <v>0.365972222222222</v>
      </c>
      <c r="O43" s="12" t="s">
        <v>60</v>
      </c>
    </row>
    <row r="44" spans="6:15">
      <c r="F44" s="12" t="s">
        <v>86</v>
      </c>
      <c r="G44" s="12"/>
      <c r="H44" s="6">
        <v>0.6</v>
      </c>
      <c r="I44" s="10">
        <v>0.390972222222222</v>
      </c>
      <c r="O44" s="12" t="s">
        <v>62</v>
      </c>
    </row>
    <row r="45" spans="6:15">
      <c r="F45" s="12" t="s">
        <v>88</v>
      </c>
      <c r="G45" s="12"/>
      <c r="H45" s="6">
        <v>0.6</v>
      </c>
      <c r="I45" s="10">
        <v>0.341666666666667</v>
      </c>
      <c r="O45" t="s">
        <v>64</v>
      </c>
    </row>
    <row r="46" spans="6:15">
      <c r="F46" s="12" t="s">
        <v>89</v>
      </c>
      <c r="G46" s="12"/>
      <c r="H46" s="6">
        <v>0.3</v>
      </c>
      <c r="I46" s="10">
        <v>0.828472222222222</v>
      </c>
      <c r="O46" s="12" t="s">
        <v>66</v>
      </c>
    </row>
    <row r="47" spans="6:15">
      <c r="O47" s="15" t="s">
        <v>68</v>
      </c>
    </row>
    <row r="48" spans="6:15">
      <c r="F48" s="12" t="s">
        <v>54</v>
      </c>
      <c r="G48" s="12"/>
      <c r="H48" s="6">
        <v>0.2</v>
      </c>
      <c r="I48" s="10">
        <v>0.479166666666667</v>
      </c>
      <c r="O48" s="7" t="s">
        <v>70</v>
      </c>
    </row>
    <row r="49" spans="6:15">
      <c r="F49" s="12" t="s">
        <v>56</v>
      </c>
      <c r="G49" s="12"/>
      <c r="H49" s="6">
        <v>0.6</v>
      </c>
      <c r="I49" s="10">
        <v>0.847916666666667</v>
      </c>
      <c r="O49" s="12" t="s">
        <v>72</v>
      </c>
    </row>
    <row r="50" spans="6:15">
      <c r="F50" s="12" t="s">
        <v>58</v>
      </c>
      <c r="G50" s="12"/>
      <c r="H50" s="6">
        <v>0.2</v>
      </c>
      <c r="I50" s="10">
        <v>0.497916666666667</v>
      </c>
      <c r="O50" s="12" t="s">
        <v>74</v>
      </c>
    </row>
    <row r="51" spans="6:15">
      <c r="F51" s="12" t="s">
        <v>60</v>
      </c>
      <c r="G51" s="12"/>
      <c r="H51" s="6">
        <v>0.7</v>
      </c>
      <c r="I51" s="10">
        <v>0.83125</v>
      </c>
      <c r="O51" s="12" t="s">
        <v>76</v>
      </c>
    </row>
    <row r="52" spans="6:15">
      <c r="F52" s="12" t="s">
        <v>62</v>
      </c>
      <c r="G52" s="12"/>
      <c r="H52" s="6">
        <v>2.2</v>
      </c>
      <c r="I52" s="10">
        <v>0.482638888888889</v>
      </c>
      <c r="O52" s="12" t="s">
        <v>78</v>
      </c>
    </row>
    <row r="53" spans="6:15">
      <c r="F53" s="12" t="s">
        <v>139</v>
      </c>
      <c r="G53" s="12"/>
      <c r="H53" s="6">
        <v>2</v>
      </c>
      <c r="I53" s="10">
        <v>0.841666666666667</v>
      </c>
      <c r="O53" s="12" t="s">
        <v>80</v>
      </c>
    </row>
    <row r="54" spans="6:15">
      <c r="O54" s="12" t="s">
        <v>82</v>
      </c>
    </row>
    <row r="55" spans="6:15">
      <c r="O55" s="12" t="s">
        <v>84</v>
      </c>
    </row>
    <row r="56" spans="6:15">
      <c r="O56" s="12" t="s">
        <v>86</v>
      </c>
    </row>
    <row r="57" spans="6:15">
      <c r="O57" s="12" t="s">
        <v>88</v>
      </c>
    </row>
    <row r="58" spans="6:15">
      <c r="O58" s="12" t="s">
        <v>89</v>
      </c>
    </row>
    <row r="59" spans="6:15">
      <c r="O59" s="7" t="s">
        <v>91</v>
      </c>
    </row>
    <row r="60" spans="6:15">
      <c r="O60" s="7" t="s">
        <v>93</v>
      </c>
    </row>
    <row r="61" spans="6:15">
      <c r="O61" s="7" t="s">
        <v>95</v>
      </c>
    </row>
    <row r="62" spans="6:15">
      <c r="O62" s="7" t="s">
        <v>98</v>
      </c>
    </row>
  </sheetData>
  <conditionalFormatting sqref="B24:E24">
    <cfRule type="colorScale" priority="9">
      <colorScale>
        <cfvo type="min"/>
        <cfvo type="max"/>
        <color rgb="FFFCFCFF"/>
        <color rgb="FFF8696B"/>
      </colorScale>
    </cfRule>
  </conditionalFormatting>
  <conditionalFormatting sqref="H48">
    <cfRule type="colorScale" priority="2">
      <colorScale>
        <cfvo type="min"/>
        <cfvo type="max"/>
        <color rgb="FFFCFCFF"/>
        <color rgb="FFF8696B"/>
      </colorScale>
    </cfRule>
  </conditionalFormatting>
  <conditionalFormatting sqref="H32:H35">
    <cfRule type="colorScale" priority="6">
      <colorScale>
        <cfvo type="min"/>
        <cfvo type="max"/>
        <color rgb="FFFCFCFF"/>
        <color rgb="FFF8696B"/>
      </colorScale>
    </cfRule>
    <cfRule type="colorScale" priority="7">
      <colorScale>
        <cfvo type="min"/>
        <cfvo type="max"/>
        <color rgb="FFFCFCFF"/>
        <color rgb="FFF8696B"/>
      </colorScale>
    </cfRule>
  </conditionalFormatting>
  <conditionalFormatting sqref="H37:H46">
    <cfRule type="colorScale" priority="4">
      <colorScale>
        <cfvo type="min"/>
        <cfvo type="max"/>
        <color rgb="FFFCFCFF"/>
        <color rgb="FFF8696B"/>
      </colorScale>
    </cfRule>
    <cfRule type="colorScale" priority="5">
      <colorScale>
        <cfvo type="min"/>
        <cfvo type="max"/>
        <color rgb="FFFCFCFF"/>
        <color rgb="FFF8696B"/>
      </colorScale>
    </cfRule>
  </conditionalFormatting>
  <conditionalFormatting sqref="H48:H53">
    <cfRule type="colorScale" priority="1">
      <colorScale>
        <cfvo type="min"/>
        <cfvo type="max"/>
        <color rgb="FFFCFCFF"/>
        <color rgb="FFF8696B"/>
      </colorScale>
    </cfRule>
  </conditionalFormatting>
  <conditionalFormatting sqref="H49:H53">
    <cfRule type="colorScale" priority="3">
      <colorScale>
        <cfvo type="min"/>
        <cfvo type="max"/>
        <color rgb="FFFCFCFF"/>
        <color rgb="FFF8696B"/>
      </colorScale>
    </cfRule>
  </conditionalFormatting>
  <conditionalFormatting sqref="B3:E23 B25:E30">
    <cfRule type="colorScale" priority="10">
      <colorScale>
        <cfvo type="min"/>
        <cfvo type="max"/>
        <color rgb="FFFCFCFF"/>
        <color rgb="FFF8696B"/>
      </colorScale>
    </cfRule>
  </conditionalFormatting>
  <conditionalFormatting sqref="B3:E30">
    <cfRule type="colorScale" priority="8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冰核实验记录</vt:lpstr>
      <vt:lpstr>冰核数浓度表</vt:lpstr>
      <vt:lpstr>采样记录表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Gong</dc:creator>
  <cp:lastModifiedBy>HP</cp:lastModifiedBy>
  <dcterms:created xsi:type="dcterms:W3CDTF">2015-06-05T18:19:00Z</dcterms:created>
  <dcterms:modified xsi:type="dcterms:W3CDTF">2026-04-02T02:26:44Z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D99B0E05EFAE491BAF37D76EEEBEF2BE_13</vt:lpwstr>
  </property>
  <property fmtid="{D5CDD505-2E9C-101B-9397-08002B2CF9AE}" pid="4" name="CalculationRule">
    <vt:i4>0</vt:i4>
  </property>
</Properties>
</file>